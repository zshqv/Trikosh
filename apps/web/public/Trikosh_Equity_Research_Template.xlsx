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ructions" sheetId="2" state="visible" r:id="rId4"/>
    <sheet name="Income Statement" sheetId="3" state="visible" r:id="rId5"/>
    <sheet name="Balance Sheet" sheetId="4" state="visible" r:id="rId6"/>
    <sheet name="Cash Flow" sheetId="5" state="visible" r:id="rId7"/>
    <sheet name="Key Ratios" sheetId="6" state="visible" r:id="rId8"/>
    <sheet name="Sector Ratio Reference" sheetId="7" state="visible" r:id="rId9"/>
    <sheet name="DCF Model" sheetId="8" state="visible" r:id="rId10"/>
    <sheet name="Comps Table" sheetId="9" state="visible" r:id="rId11"/>
    <sheet name="Research Not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<sst xmlns="http://schemas.openxmlformats.org/spreadsheetml/2006/main" count="372" uniqueCount="326">
  <si>
    <t xml:space="preserve">TRIKOSH — EQUITY RESEARCH TEMPLATE</t>
  </si>
  <si>
    <t xml:space="preserve">Structured Financial Analysis Framework · USD · Academic &amp; Professional Use</t>
  </si>
  <si>
    <t xml:space="preserve">v1.0 · trikosh.in · MIT License</t>
  </si>
  <si>
    <t xml:space="preserve">REPORT IDENTIFICATION</t>
  </si>
  <si>
    <t xml:space="preserve">Company Name</t>
  </si>
  <si>
    <t xml:space="preserve">Enter full legal name of the company</t>
  </si>
  <si>
    <t xml:space="preserve">Ticker Symbol</t>
  </si>
  <si>
    <t xml:space="preserve">e.g. AAPL, MSFT, INFY.NS</t>
  </si>
  <si>
    <t xml:space="preserve">Stock Exchange</t>
  </si>
  <si>
    <t xml:space="preserve">e.g. NYSE, NASDAQ, BSE, NSE</t>
  </si>
  <si>
    <t xml:space="preserve">Sector</t>
  </si>
  <si>
    <t xml:space="preserve">e.g. AI &amp; Technology</t>
  </si>
  <si>
    <t xml:space="preserve">Reporting Standard</t>
  </si>
  <si>
    <t xml:space="preserve">GAAP / IFRS / Non-GAAP</t>
  </si>
  <si>
    <t xml:space="preserve">Fiscal Year End</t>
  </si>
  <si>
    <t xml:space="preserve">e.g. December 31 / March 31</t>
  </si>
  <si>
    <t xml:space="preserve">Analysis Period</t>
  </si>
  <si>
    <t xml:space="preserve">FY2020 – FY2024</t>
  </si>
  <si>
    <t xml:space="preserve">Currency</t>
  </si>
  <si>
    <t xml:space="preserve">USD (all figures in USD millions unless noted)</t>
  </si>
  <si>
    <t xml:space="preserve">Analyst Name</t>
  </si>
  <si>
    <t xml:space="preserve">Your full name</t>
  </si>
  <si>
    <t xml:space="preserve">Institution / Firm</t>
  </si>
  <si>
    <t xml:space="preserve">University, firm, or independent</t>
  </si>
  <si>
    <t xml:space="preserve">Date of Report</t>
  </si>
  <si>
    <t xml:space="preserve">DD-MMM-YYYY</t>
  </si>
  <si>
    <t xml:space="preserve">Report Version</t>
  </si>
  <si>
    <t xml:space="preserve">Draft / Final</t>
  </si>
  <si>
    <t xml:space="preserve">⚠  This template is for educational and research purposes only. It does not constitute investment advice.</t>
  </si>
  <si>
    <t xml:space="preserve">COLOUR LEGEND</t>
  </si>
  <si>
    <t xml:space="preserve">■</t>
  </si>
  <si>
    <t xml:space="preserve">Blue text  — Hardcoded input. Enter your data here.</t>
  </si>
  <si>
    <t xml:space="preserve">Black text — Formula / calculated value. Do not overwrite.</t>
  </si>
  <si>
    <t xml:space="preserve">Green text — Cross-sheet link. Pulls from another tab.</t>
  </si>
  <si>
    <t xml:space="preserve">Yellow bg  — Attention: cell requires your input.</t>
  </si>
  <si>
    <t xml:space="preserve">HOW TO USE THIS TEMPLATE — READ BEFORE YOU BEGIN</t>
  </si>
  <si>
    <t xml:space="preserve">STEP 1 · COVER PAGE</t>
  </si>
  <si>
    <t xml:space="preserve">Fill every yellow-highlighted cell on the Cover sheet. This identifies your report. Do not skip the Reporting Standard field — GAAP and IFRS companies have different line-item names.</t>
  </si>
  <si>
    <t xml:space="preserve">STEP 2 · INCOME STATEMENT</t>
  </si>
  <si>
    <t xml:space="preserve">Enter 5 years of revenue, COGS, operating expenses, interest, and tax from the company's annual reports (10-K for US companies, Annual Report for others). All figures must be in USD millions. Blue cells = your inputs. Black cells = do not touch, they are formulas.</t>
  </si>
  <si>
    <t xml:space="preserve">STEP 3 · BALANCE SHEET</t>
  </si>
  <si>
    <t xml:space="preserve">Enter total current assets, non-current assets, current liabilities, long-term debt, and shareholders' equity for each fiscal year. Verify that Assets = Liabilities + Equity for every column. A check row highlights any mismatch in red.</t>
  </si>
  <si>
    <t xml:space="preserve">STEP 4 · CASH FLOW STATEMENT</t>
  </si>
  <si>
    <t xml:space="preserve">Enter operating, investing, and financing cash flows. Free Cash Flow is calculated automatically as Operating CF minus CapEx. Do not override the FCF row.</t>
  </si>
  <si>
    <t xml:space="preserve">STEP 5 · KEY RATIOS</t>
  </si>
  <si>
    <t xml:space="preserve">All 15 ratios compute automatically from the three statement sheets. Review the formula bar for each ratio to understand the calculation. If a cell shows '-' it means the denominator is zero or data is missing — this is intentional and correct.</t>
  </si>
  <si>
    <t xml:space="preserve">STEP 6 · DCF MODEL</t>
  </si>
  <si>
    <t xml:space="preserve">Enter your revenue growth assumptions (blue cells) and WACC in the assumptions block. The model projects 5 years of free cash flow and calculates terminal value using the Gordon Growth Model. The implied share price auto-calculates.</t>
  </si>
  <si>
    <t xml:space="preserve">STEP 7 · COMPS TABLE</t>
  </si>
  <si>
    <t xml:space="preserve">Enter 4-5 peer companies with their EV, EBITDA, Revenue, Net Income, and P/E. The sheet calculates EV/EBITDA, EV/Revenue, and P/E multiples and highlights the median. Use Trikosh data for peers.</t>
  </si>
  <si>
    <t xml:space="preserve">STEP 8 · RESEARCH NOTES</t>
  </si>
  <si>
    <t xml:space="preserve">Write your investment thesis, bear case, bull case, and key risks here. This is free-form text. A professional research note has: (1) one-sentence thesis, (2) 3 supporting arguments, (3) 2 key risks, (4) valuation conclusion.</t>
  </si>
  <si>
    <t xml:space="preserve">IMPORTANT — DATA SOURCES</t>
  </si>
  <si>
    <t xml:space="preserve">Always document where each number comes from. US companies: SEC EDGAR (edgar.sec.gov). Indian companies: BSE/NSE filings. European companies: company IR pages. You may also use Trikosh's standardised dataset as your primary source — cite it as: 'Source: Trikosh Financial Database, trikosh.in, [date accessed]'.</t>
  </si>
  <si>
    <t xml:space="preserve">INCOME STATEMENT  ($mm USD)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</si>
  <si>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</si>
  <si>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</si>
  <si>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</si>
  <si>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</si>
  <si>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</si>
  <si>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REVENUE</t>
  </si>
  <si>
    <t xml:space="preserve">Cost of Goods Sold (COGS)</t>
  </si>
  <si>
    <t xml:space="preserve">GROSS PROFIT</t>
  </si>
  <si>
    <t xml:space="preserve">Gross Margin %</t>
  </si>
  <si>
    <t xml:space="preserve">Research &amp; Development</t>
  </si>
  <si>
    <t xml:space="preserve">Selling, General &amp; Admin (SG&amp;A)</t>
  </si>
  <si>
    <t xml:space="preserve">Other Operating Expenses</t>
  </si>
  <si>
    <t xml:space="preserve">OPERATING INCOME (EBIT)</t>
  </si>
  <si>
    <t xml:space="preserve">Operating Margin %</t>
  </si>
  <si>
    <t xml:space="preserve">EBITDA</t>
  </si>
  <si>
    <t xml:space="preserve">EBITDA Margin %</t>
  </si>
  <si>
    <t xml:space="preserve">Interest Expense</t>
  </si>
  <si>
    <t xml:space="preserve">Interest Coverage (x)</t>
  </si>
  <si>
    <t xml:space="preserve">Other Non-Operating Income</t>
  </si>
  <si>
    <t xml:space="preserve">PRE-TAX INCOME (EBT)</t>
  </si>
  <si>
    <t xml:space="preserve">Income Tax Expense</t>
  </si>
  <si>
    <t xml:space="preserve">Effective Tax Rate %</t>
  </si>
  <si>
    <t xml:space="preserve">NET INCOME</t>
  </si>
  <si>
    <t xml:space="preserve">Net Profit Margin %</t>
  </si>
  <si>
    <t xml:space="preserve">Shares Outstanding (mm)</t>
  </si>
  <si>
    <t xml:space="preserve">Earnings Per Share (EPS)</t>
  </si>
  <si>
    <t xml:space="preserve">BALANCE SHEET  ($mm USD)</t>
  </si>
  <si>
    <t xml:space="preserve">ASSETS</t>
  </si>
  <si>
    <t xml:space="preserve">Cash &amp; Cash Equivalents</t>
  </si>
  <si>
    <t xml:space="preserve">Short-Term Investments</t>
  </si>
  <si>
    <t xml:space="preserve">Accounts Receivable</t>
  </si>
  <si>
    <t xml:space="preserve">Inventory</t>
  </si>
  <si>
    <t xml:space="preserve">Other Current Assets</t>
  </si>
  <si>
    <t xml:space="preserve">TOTAL CURRENT ASSETS</t>
  </si>
  <si>
    <t xml:space="preserve">Property, Plant &amp; Equipment</t>
  </si>
  <si>
    <t xml:space="preserve">Intangible Assets &amp; Goodwill</t>
  </si>
  <si>
    <t xml:space="preserve">Long-Term Investments</t>
  </si>
  <si>
    <t xml:space="preserve">Other Non-Current Assets</t>
  </si>
  <si>
    <t xml:space="preserve">TOTAL NON-CURRENT ASSETS</t>
  </si>
  <si>
    <t xml:space="preserve">TOTAL ASSETS</t>
  </si>
  <si>
    <t xml:space="preserve">LIABILITIES &amp; EQUITY</t>
  </si>
  <si>
    <t xml:space="preserve">Accounts Payable</t>
  </si>
  <si>
    <t xml:space="preserve">Short-Term Debt</t>
  </si>
  <si>
    <t xml:space="preserve">Other Current Liabilities</t>
  </si>
  <si>
    <t xml:space="preserve">TOTAL CURRENT LIABILITIES</t>
  </si>
  <si>
    <t xml:space="preserve">Long-Term Debt</t>
  </si>
  <si>
    <t xml:space="preserve">Other Long-Term Liabilities</t>
  </si>
  <si>
    <t xml:space="preserve">TOTAL LIABILITIES</t>
  </si>
  <si>
    <t xml:space="preserve">Common Stock &amp; APIC</t>
  </si>
  <si>
    <t xml:space="preserve">Retained Earnings</t>
  </si>
  <si>
    <t xml:space="preserve">Other Equity</t>
  </si>
  <si>
    <t xml:space="preserve">TOTAL SHAREHOLDERS' EQUITY</t>
  </si>
  <si>
    <t xml:space="preserve">TOTAL LIABILITIES + EQUITY</t>
  </si>
  <si>
    <t xml:space="preserve">BALANCE CHECK (Assets - L+E)</t>
  </si>
  <si>
    <t xml:space="preserve">CASH FLOW STATEMENT  ($mm USD)</t>
  </si>
  <si>
    <t xml:space="preserve">OPERATING ACTIVITIES</t>
  </si>
  <si>
    <t xml:space="preserve">Net Income</t>
  </si>
  <si>
    <t xml:space="preserve">Depreciation &amp; Amortisation</t>
  </si>
  <si>
    <t xml:space="preserve">Changes in Working Capital</t>
  </si>
  <si>
    <t xml:space="preserve">Other Operating Adjustments</t>
  </si>
  <si>
    <t xml:space="preserve">OPERATING CASH FLOW</t>
  </si>
  <si>
    <t xml:space="preserve">INVESTING ACTIVITIES</t>
  </si>
  <si>
    <t xml:space="preserve">Capital Expenditure (CapEx)</t>
  </si>
  <si>
    <t xml:space="preserve">Acquisitions</t>
  </si>
  <si>
    <t xml:space="preserve">Purchase of Investments</t>
  </si>
  <si>
    <t xml:space="preserve">Other Investing Activities</t>
  </si>
  <si>
    <t xml:space="preserve">INVESTING CASH FLOW</t>
  </si>
  <si>
    <t xml:space="preserve">FINANCING ACTIVITIES</t>
  </si>
  <si>
    <t xml:space="preserve">Debt Raised / (Repaid)</t>
  </si>
  <si>
    <t xml:space="preserve">Equity Issued / (Buybacks)</t>
  </si>
  <si>
    <t xml:space="preserve">Dividends Paid</t>
  </si>
  <si>
    <t xml:space="preserve">Other Financing Activities</t>
  </si>
  <si>
    <t xml:space="preserve">FINANCING CASH FLOW</t>
  </si>
  <si>
    <t xml:space="preserve">NET CHANGE IN CASH</t>
  </si>
  <si>
    <t xml:space="preserve">FREE CASH FLOW (OCF - CapEx)</t>
  </si>
  <si>
    <t xml:space="preserve">FCF Margin %</t>
  </si>
  <si>
    <t xml:space="preserve">KEY RATIOS — 15 STANDARDISED METRICS  (Auto-calculated from Financial Statements)</t>
  </si>
  <si>
    <t xml:space="preserve">Ratio</t>
  </si>
  <si>
    <t xml:space="preserve">Formula</t>
  </si>
  <si>
    <t xml:space="preserve">Interpretation</t>
  </si>
  <si>
    <t xml:space="preserve">PROFITABILITY RATIOS</t>
  </si>
  <si>
    <t xml:space="preserve">1. Gross Profit Margin</t>
  </si>
  <si>
    <t xml:space="preserve">'Income Statement'!Y5/'Income Statement'!Y3</t>
  </si>
  <si>
    <t xml:space="preserve">Gross Profit ÷ Revenue. Measures pricing power and production efficiency. &gt;40% is strong for tech; ~20-30% for retail.</t>
  </si>
  <si>
    <t xml:space="preserve">2. Operating Margin (EBIT Margin)</t>
  </si>
  <si>
    <t xml:space="preserve">'Income Statement'!Y11/'Income Statement'!Y3</t>
  </si>
  <si>
    <t xml:space="preserve">EBIT ÷ Revenue. Core operational profitability before financing costs. Watch for consistent improvement trend.</t>
  </si>
  <si>
    <t xml:space="preserve">3. Net Profit Margin</t>
  </si>
  <si>
    <t xml:space="preserve">'Income Statement'!Y21/'Income Statement'!Y3</t>
  </si>
  <si>
    <t xml:space="preserve">Net Income ÷ Revenue. Bottom-line profitability after all costs. Compare within sector; varies widely by industry.</t>
  </si>
  <si>
    <t xml:space="preserve">4. EBITDA Margin</t>
  </si>
  <si>
    <t xml:space="preserve">'Income Statement'!Y13/'Income Statement'!Y3</t>
  </si>
  <si>
    <t xml:space="preserve">EBITDA ÷ Revenue. Proxy for operating cash generation. Widely used in LBO and credit analysis.</t>
  </si>
  <si>
    <t xml:space="preserve">RETURN RATIOS</t>
  </si>
  <si>
    <t xml:space="preserve">5. Return on Equity (ROE)</t>
  </si>
  <si>
    <t xml:space="preserve">'Income Statement'!Y21/'Balance Sheet'!Y27</t>
  </si>
  <si>
    <t xml:space="preserve">Net Income ÷ Shareholders' Equity. Measures return generated for equity holders. &gt;15% is generally considered strong.</t>
  </si>
  <si>
    <t xml:space="preserve">6. Return on Assets (ROA)</t>
  </si>
  <si>
    <t xml:space="preserve">'Income Statement'!Y21/'Balance Sheet'!Y15</t>
  </si>
  <si>
    <t xml:space="preserve">Net Income ÷ Total Assets. Efficiency of asset base. Banks typically show &lt;2%; tech companies often &gt;10%.</t>
  </si>
  <si>
    <t xml:space="preserve">7. Asset Turnover</t>
  </si>
  <si>
    <t xml:space="preserve">'Income Statement'!Y3/'Balance Sheet'!Y15</t>
  </si>
  <si>
    <t xml:space="preserve">Revenue ÷ Total Assets. How efficiently assets generate revenue. High for retail; low for capital-intensive industries.</t>
  </si>
  <si>
    <t xml:space="preserve">LIQUIDITY RATIOS</t>
  </si>
  <si>
    <t xml:space="preserve">8. Current Ratio</t>
  </si>
  <si>
    <t xml:space="preserve">'Balance Sheet'!Y9/'Balance Sheet'!Y20</t>
  </si>
  <si>
    <t xml:space="preserve">Current Assets ÷ Current Liabilities. &gt;1.5x is comfortable; &lt;1.0x signals potential short-term stress.</t>
  </si>
  <si>
    <t xml:space="preserve">9. Quick Ratio</t>
  </si>
  <si>
    <t xml:space="preserve">('Balance Sheet'!Y9-'Balance Sheet'!Y7)/'Balance Sheet'!Y20</t>
  </si>
  <si>
    <t xml:space="preserve">(Current Assets - Inventory) ÷ Current Liabilities. More conservative than current ratio. &gt;1.0x is healthy.</t>
  </si>
  <si>
    <t xml:space="preserve">LEVERAGE RATIOS</t>
  </si>
  <si>
    <t xml:space="preserve">10. Debt to Equity</t>
  </si>
  <si>
    <t xml:space="preserve">'Balance Sheet'!Y23/'Balance Sheet'!Y27</t>
  </si>
  <si>
    <t xml:space="preserve">Total Liabilities ÷ Shareholders' Equity. Higher = more leveraged. &gt;2.0x warrants scrutiny in cyclical sectors.</t>
  </si>
  <si>
    <t xml:space="preserve">11. Debt to EBITDA</t>
  </si>
  <si>
    <t xml:space="preserve">('Balance Sheet'!Y21+'Balance Sheet'!Y18)/'Income Statement'!Y13</t>
  </si>
  <si>
    <t xml:space="preserve">(Long-Term Debt + Short-Term Debt) ÷ EBITDA. Key credit metric. &gt;4.0x considered high leverage by most lenders.</t>
  </si>
  <si>
    <t xml:space="preserve">12. Interest Coverage (ICR)</t>
  </si>
  <si>
    <t xml:space="preserve">'Income Statement'!Y11/'Income Statement'!Y15</t>
  </si>
  <si>
    <t xml:space="preserve">EBIT ÷ Interest Expense. &gt;3.0x is generally safe; &lt;1.5x is distress territory. Negative = operating loss.</t>
  </si>
  <si>
    <t xml:space="preserve">CASH FLOW RATIOS</t>
  </si>
  <si>
    <t xml:space="preserve">13. Free Cash Flow Margin</t>
  </si>
  <si>
    <t xml:space="preserve">'Cash Flow'!Y23/'Income Statement'!Y3</t>
  </si>
  <si>
    <t xml:space="preserve">FCF ÷ Revenue. Quality earnings check. Consistently positive FCF margin is a hallmark of great businesses.</t>
  </si>
  <si>
    <t xml:space="preserve">14. Operating CF Ratio</t>
  </si>
  <si>
    <t xml:space="preserve">'Cash Flow'!Y8/'Balance Sheet'!Y20</t>
  </si>
  <si>
    <t xml:space="preserve">Operating Cash Flow ÷ Current Liabilities. Liquidity from operations. &gt;1.0x means ops fully cover short-term obligations.</t>
  </si>
  <si>
    <t xml:space="preserve">15. CapEx to Revenue</t>
  </si>
  <si>
    <t xml:space="preserve">ABS('Cash Flow'!Y10)/'Income Statement'!Y3</t>
  </si>
  <si>
    <t xml:space="preserve">CapEx ÷ Revenue. Capital intensity metric. Asset-light businesses (software) &lt;5%; heavy industry can exceed 20%.</t>
  </si>
  <si>
    <t xml:space="preserve">SECTOR-SPECIFIC RATIO BENCHMARKS — Which ratios matter most, and what's a good number?</t>
  </si>
  <si>
    <t xml:space="preserve">RATIO</t>
  </si>
  <si>
    <t xml:space="preserve">Financial Services</t>
  </si>
  <si>
    <t xml:space="preserve">AI &amp; Technology</t>
  </si>
  <si>
    <t xml:space="preserve">Healthcare</t>
  </si>
  <si>
    <t xml:space="preserve">Consumer &amp; Retail</t>
  </si>
  <si>
    <t xml:space="preserve">Consumer Internet
&amp; Digital Platforms</t>
  </si>
  <si>
    <t xml:space="preserve">PROFITABILITY</t>
  </si>
  <si>
    <t xml:space="preserve">Gross Margin</t>
  </si>
  <si>
    <t xml:space="preserve">20–40% (NIM-driven)</t>
  </si>
  <si>
    <t xml:space="preserve">55–80%</t>
  </si>
  <si>
    <t xml:space="preserve">55–75%</t>
  </si>
  <si>
    <t xml:space="preserve">25–45%</t>
  </si>
  <si>
    <t xml:space="preserve">50–75%</t>
  </si>
  <si>
    <t xml:space="preserve">Operating Margin</t>
  </si>
  <si>
    <t xml:space="preserve">15–35%</t>
  </si>
  <si>
    <t xml:space="preserve">20–40%</t>
  </si>
  <si>
    <t xml:space="preserve">15–30%</t>
  </si>
  <si>
    <t xml:space="preserve">3–10%</t>
  </si>
  <si>
    <t xml:space="preserve">Net Profit Margin</t>
  </si>
  <si>
    <t xml:space="preserve">10–25%</t>
  </si>
  <si>
    <t xml:space="preserve">2–8%</t>
  </si>
  <si>
    <t xml:space="preserve">EBITDA Margin</t>
  </si>
  <si>
    <t xml:space="preserve">25–50%</t>
  </si>
  <si>
    <t xml:space="preserve">5–15%</t>
  </si>
  <si>
    <t xml:space="preserve">20–45%</t>
  </si>
  <si>
    <t xml:space="preserve">RETURNS</t>
  </si>
  <si>
    <t xml:space="preserve">ROE</t>
  </si>
  <si>
    <t xml:space="preserve">8–15%</t>
  </si>
  <si>
    <t xml:space="preserve">&gt;15% (preferred)</t>
  </si>
  <si>
    <t xml:space="preserve">&gt;15%</t>
  </si>
  <si>
    <t xml:space="preserve">10–20%</t>
  </si>
  <si>
    <t xml:space="preserve">&gt;20%</t>
  </si>
  <si>
    <t xml:space="preserve">ROA</t>
  </si>
  <si>
    <t xml:space="preserve">0.5–2% (banks)</t>
  </si>
  <si>
    <t xml:space="preserve">5–12%</t>
  </si>
  <si>
    <t xml:space="preserve">3–8%</t>
  </si>
  <si>
    <t xml:space="preserve">8–18%</t>
  </si>
  <si>
    <t xml:space="preserve">Asset Turnover</t>
  </si>
  <si>
    <t xml:space="preserve">0.05–0.15x</t>
  </si>
  <si>
    <t xml:space="preserve">0.5–1.0x</t>
  </si>
  <si>
    <t xml:space="preserve">0.4–0.8x</t>
  </si>
  <si>
    <t xml:space="preserve">1.5–3.0x</t>
  </si>
  <si>
    <t xml:space="preserve">0.5–1.2x</t>
  </si>
  <si>
    <t xml:space="preserve">LIQUIDITY</t>
  </si>
  <si>
    <t xml:space="preserve">Current Ratio</t>
  </si>
  <si>
    <t xml:space="preserve">N/A (use LCR)</t>
  </si>
  <si>
    <t xml:space="preserve">2.0–4.0x</t>
  </si>
  <si>
    <t xml:space="preserve">1.0–2.0x</t>
  </si>
  <si>
    <t xml:space="preserve">1.5–3.5x</t>
  </si>
  <si>
    <t xml:space="preserve">Quick Ratio</t>
  </si>
  <si>
    <t xml:space="preserve">1.2–2.5x</t>
  </si>
  <si>
    <t xml:space="preserve">LEVERAGE</t>
  </si>
  <si>
    <t xml:space="preserve">Debt to Equity</t>
  </si>
  <si>
    <t xml:space="preserve">5–15x (normal)</t>
  </si>
  <si>
    <t xml:space="preserve">0.0–0.5x</t>
  </si>
  <si>
    <t xml:space="preserve">0.2–1.0x</t>
  </si>
  <si>
    <t xml:space="preserve">0.5–2.0x</t>
  </si>
  <si>
    <t xml:space="preserve">0.0–0.8x</t>
  </si>
  <si>
    <t xml:space="preserve">Debt to EBITDA</t>
  </si>
  <si>
    <t xml:space="preserve">2–5x</t>
  </si>
  <si>
    <t xml:space="preserve">0.0–1.5x</t>
  </si>
  <si>
    <t xml:space="preserve">1.0–3.0x</t>
  </si>
  <si>
    <t xml:space="preserve">0.0–2.0x</t>
  </si>
  <si>
    <t xml:space="preserve">Interest Coverage</t>
  </si>
  <si>
    <t xml:space="preserve">3–8x</t>
  </si>
  <si>
    <t xml:space="preserve">&gt;10x</t>
  </si>
  <si>
    <t xml:space="preserve">5–15x</t>
  </si>
  <si>
    <t xml:space="preserve">CASH FLOW</t>
  </si>
  <si>
    <t xml:space="preserve">FCF Margin</t>
  </si>
  <si>
    <t xml:space="preserve">Operating CF Ratio</t>
  </si>
  <si>
    <t xml:space="preserve">N/A</t>
  </si>
  <si>
    <t xml:space="preserve">1.5–4.0x</t>
  </si>
  <si>
    <t xml:space="preserve">0.5–1.5x</t>
  </si>
  <si>
    <t xml:space="preserve">CapEx to Revenue</t>
  </si>
  <si>
    <t xml:space="preserve">1–3%</t>
  </si>
  <si>
    <t xml:space="preserve">2–6%</t>
  </si>
  <si>
    <t xml:space="preserve">DISCOUNTED CASH FLOW MODEL  ($mm USD)  —  5-Year Projection + Terminal Value</t>
  </si>
  <si>
    <t xml:space="preserve">FY2025E</t>
  </si>
  <si>
    <t xml:space="preserve">FY2026E</t>
  </si>
  <si>
    <t xml:space="preserve">FY2027E</t>
  </si>
  <si>
    <t xml:space="preserve">FY2028E</t>
  </si>
  <si>
    <t xml:space="preserve">FY2029E</t>
  </si>
  <si>
    <t xml:space="preserve">ASSUMPTIONS (Blue = enter your values here)</t>
  </si>
  <si>
    <t xml:space="preserve">Base Revenue (FY2024 actual, $mm)</t>
  </si>
  <si>
    <t xml:space="preserve">Revenue Growth Rate — FY2025E</t>
  </si>
  <si>
    <t xml:space="preserve">Revenue Growth Rate — FY2026E</t>
  </si>
  <si>
    <t xml:space="preserve">Revenue Growth Rate — FY2027E</t>
  </si>
  <si>
    <t xml:space="preserve">Revenue Growth Rate — FY2028E</t>
  </si>
  <si>
    <t xml:space="preserve">Revenue Growth Rate — FY2029E</t>
  </si>
  <si>
    <t xml:space="preserve">FCF Margin (% of Revenue)</t>
  </si>
  <si>
    <t xml:space="preserve">WACC (Discount Rate)</t>
  </si>
  <si>
    <t xml:space="preserve">Terminal Growth Rate (g)</t>
  </si>
  <si>
    <t xml:space="preserve">Net Debt ($mm)</t>
  </si>
  <si>
    <t xml:space="preserve">PROJECTION</t>
  </si>
  <si>
    <t xml:space="preserve">Projected Revenue ($mm)</t>
  </si>
  <si>
    <t xml:space="preserve">FCF ($mm)</t>
  </si>
  <si>
    <t xml:space="preserve">Discount Factor</t>
  </si>
  <si>
    <t xml:space="preserve">PV of FCF ($mm)</t>
  </si>
  <si>
    <t xml:space="preserve">VALUATION SUMMARY</t>
  </si>
  <si>
    <t xml:space="preserve">Sum of PV of FCFs ($mm)</t>
  </si>
  <si>
    <t xml:space="preserve">Terminal Value ($mm)</t>
  </si>
  <si>
    <t xml:space="preserve">PV of Terminal Value ($mm)</t>
  </si>
  <si>
    <t xml:space="preserve">Enterprise Value ($mm)</t>
  </si>
  <si>
    <t xml:space="preserve">Equity Value ($mm)</t>
  </si>
  <si>
    <t xml:space="preserve">IMPLIED SHARE PRICE (USD)</t>
  </si>
  <si>
    <t xml:space="preserve">PEER COMPARABLES TABLE  ($mm USD)  —  Enter data for 5 peers + subject company</t>
  </si>
  <si>
    <t xml:space="preserve">Company</t>
  </si>
  <si>
    <t xml:space="preserve">Ticker</t>
  </si>
  <si>
    <t xml:space="preserve">EV ($mm)</t>
  </si>
  <si>
    <t xml:space="preserve">Revenue ($mm)</t>
  </si>
  <si>
    <t xml:space="preserve">EBITDA ($mm)</t>
  </si>
  <si>
    <t xml:space="preserve">Net Income ($mm)</t>
  </si>
  <si>
    <t xml:space="preserve">Shares Out (mm)</t>
  </si>
  <si>
    <t xml:space="preserve">EV / Revenue</t>
  </si>
  <si>
    <t xml:space="preserve">EV / EBITDA</t>
  </si>
  <si>
    <t xml:space="preserve">P/E (x)</t>
  </si>
  <si>
    <t xml:space="preserve">Subject Company</t>
  </si>
  <si>
    <t xml:space="preserve">Peer 1</t>
  </si>
  <si>
    <t xml:space="preserve">Peer 2</t>
  </si>
  <si>
    <t xml:space="preserve">Peer 3</t>
  </si>
  <si>
    <t xml:space="preserve">Peer 4</t>
  </si>
  <si>
    <t xml:space="preserve">Peer 5</t>
  </si>
  <si>
    <t xml:space="preserve">MEDIAN</t>
  </si>
  <si>
    <t xml:space="preserve">EQUITY RESEARCH NOTE — ANALYST WRITE-UP</t>
  </si>
  <si>
    <t xml:space="preserve">ONE-SENTENCE INVESTMENT THESIS</t>
  </si>
  <si>
    <t xml:space="preserve">State your core view in a single sentence. Example: 'We initiate coverage on [Company] with a BUY rating and a 12-month price target of $XX, reflecting [primary driver].'</t>
  </si>
  <si>
    <t xml:space="preserve">BUSINESS OVERVIEW (2–3 sentences)</t>
  </si>
  <si>
    <t xml:space="preserve">What does the company do? Who are its customers? What is its competitive moat?</t>
  </si>
  <si>
    <t xml:space="preserve">BULL CASE — 3 reasons to be positive</t>
  </si>
  <si>
    <t xml:space="preserve">1.
2.
3.</t>
  </si>
  <si>
    <t xml:space="preserve">BEAR CASE — 2 key risks</t>
  </si>
  <si>
    <t xml:space="preserve">1.
2.</t>
  </si>
  <si>
    <t xml:space="preserve">FINANCIAL HIGHLIGHTS (5-year trend)</t>
  </si>
  <si>
    <t xml:space="preserve">Summarise revenue CAGR, margin trajectory, and FCF generation. Reference your ratio sheet.</t>
  </si>
  <si>
    <t xml:space="preserve">VALUATION CONCLUSION</t>
  </si>
  <si>
    <t xml:space="preserve">Reference your DCF implied price and comps multiples. State whether the stock is cheap, fair, or expensive vs peers.</t>
  </si>
  <si>
    <t xml:space="preserve">DATA SOURCES</t>
  </si>
  <si>
    <t xml:space="preserve">List every source used: SEC filings, Trikosh database, Bloomberg, etc. Date accessed.</t>
  </si>
  <si>
    <t xml:space="preserve">DISCLAIMER</t>
  </si>
  <si>
    <t xml:space="preserve">This report is for educational purposes only and does not constitute investment advice. The analyst holds no position in the subject company.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</si>
</sst>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;&quot;($&quot;#,##0.0\);\-"/>
    <numFmt numFmtId="166" formatCode="0.0%;\-0.0%;\-"/>
    <numFmt numFmtId="167" formatCode="0.0\x;\-0.0\x;\-"/>
    <numFmt numFmtId="168" formatCode="\$#,##0.0;&quot;($&quot;#,##0.0\);\-"/>
    <numFmt numFmtId="169" formatCode="0.0%;\-0.0%;\-"/>
    <numFmt numFmtId="170" formatCode="#,##0;\(#,##0\);\-"/>
    <numFmt numFmtId="171" formatCode="0.00;\-0.00;\-"/>
    <numFmt numFmtId="172" formatCode="0.0\x;\-0.0\x;\-"/>
    <numFmt numFmtId="173" formatCode="0.00;\-0.00;\-"/>
    <numFmt numFmtId="174" formatCode="\$#,##0.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C9A84C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sz val="9"/>
      <color rgb="FFD9D9D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888888"/>
      <name val="Arial"/>
      <family val="0"/>
      <charset val="1"/>
    </font>
    <font>
      <sz val="14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sz val="14"/>
      <color rgb="FF000000"/>
      <name val="Arial"/>
      <family val="0"/>
      <charset val="1"/>
    </font>
    <font>
      <sz val="14"/>
      <color rgb="FF006400"/>
      <name val="Arial"/>
      <family val="0"/>
      <charset val="1"/>
    </font>
    <font>
      <sz val="14"/>
      <color rgb="FFFFFF00"/>
      <name val="Arial"/>
      <family val="0"/>
      <charset val="1"/>
    </font>
    <font>
      <b val="true"/>
      <sz val="14"/>
      <color rgb="FFC9A84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CC0000"/>
      <name val="Arial"/>
      <family val="0"/>
      <charset val="1"/>
    </font>
    <font>
      <sz val="10"/>
      <color rgb="FF0064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8"/>
      <color rgb="FF4A4A4A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B1F3A"/>
        <bgColor rgb="FF003300"/>
      </patternFill>
    </fill>
    <fill>
      <patternFill patternType="solid">
        <fgColor rgb="FF4A4A4A"/>
        <bgColor rgb="FF333300"/>
      </patternFill>
    </fill>
    <fill>
      <patternFill patternType="solid">
        <fgColor rgb="FFF5F5F5"/>
        <bgColor rgb="FFFAFAFA"/>
      </patternFill>
    </fill>
    <fill>
      <patternFill patternType="solid">
        <fgColor rgb="FFFFFF00"/>
        <bgColor rgb="FFFFFF00"/>
      </patternFill>
    </fill>
    <fill>
      <patternFill patternType="solid">
        <fgColor rgb="FFC9A84C"/>
        <bgColor rgb="FFFF9900"/>
      </patternFill>
    </fill>
    <fill>
      <patternFill patternType="solid">
        <fgColor rgb="FFE8F0FE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E0E0"/>
        <bgColor rgb="FFF5F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1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2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AFAFA"/>
      <rgbColor rgb="FFE8F0F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F99"/>
      <rgbColor rgb="FF99CCFF"/>
      <rgbColor rgb="FFFF99CC"/>
      <rgbColor rgb="FFCC99FF"/>
      <rgbColor rgb="FFFFE0E0"/>
      <rgbColor rgb="FF3366FF"/>
      <rgbColor rgb="FF33CCCC"/>
      <rgbColor rgb="FF99CC00"/>
      <rgbColor rgb="FFFFCC00"/>
      <rgbColor rgb="FFFF9900"/>
      <rgbColor rgb="FFFF6600"/>
      <rgbColor rgb="FF666699"/>
      <rgbColor rgb="FFC9A84C"/>
      <rgbColor rgb="FF0B1F3A"/>
      <rgbColor rgb="FF339966"/>
      <rgbColor rgb="FF003300"/>
      <rgbColor rgb="FF333300"/>
      <rgbColor rgb="FF993300"/>
      <rgbColor rgb="FF993366"/>
      <rgbColor rgb="FF333399"/>
      <rgbColor rgb="FF4A4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45"/>
    <col collapsed="false" customWidth="true" hidden="false" outlineLevel="0" max="4" min="4" style="1" width="20"/>
    <col collapsed="false" customWidth="true" hidden="false" outlineLevel="0" max="5" min="5" style="1" width="3"/>
  </cols>
  <sheetData>
    <row r="1" customFormat="false" ht="18" hidden="false" customHeight="true" outlineLevel="0" collapsed="false">
      <c r="A1" s="2"/>
      <c r="B1" s="2"/>
      <c r="C1" s="2"/>
      <c r="D1" s="2"/>
      <c r="E1" s="2"/>
    </row>
    <row r="2" customFormat="false" ht="18" hidden="false" customHeight="true" outlineLevel="0" collapsed="false">
      <c r="A2" s="2"/>
      <c r="B2" s="3" t="s">
        <v>0</v>
      </c>
      <c r="C2" s="3"/>
      <c r="D2" s="3"/>
      <c r="E2" s="2"/>
    </row>
    <row r="3" customFormat="false" ht="18" hidden="false" customHeight="true" outlineLevel="0" collapsed="false">
      <c r="A3" s="2"/>
      <c r="B3" s="4" t="s">
        <v>1</v>
      </c>
      <c r="C3" s="4"/>
      <c r="D3" s="4"/>
      <c r="E3" s="2"/>
    </row>
    <row r="4" customFormat="false" ht="18" hidden="false" customHeight="true" outlineLevel="0" collapsed="false">
      <c r="A4" s="2"/>
      <c r="B4" s="5" t="s">
        <v>2</v>
      </c>
      <c r="C4" s="5"/>
      <c r="D4" s="5"/>
      <c r="E4" s="2"/>
    </row>
    <row r="5" customFormat="false" ht="18" hidden="false" customHeight="true" outlineLevel="0" collapsed="false">
      <c r="A5" s="2"/>
      <c r="B5" s="2"/>
      <c r="C5" s="2"/>
      <c r="D5" s="2"/>
      <c r="E5" s="2"/>
    </row>
    <row r="6" customFormat="false" ht="18" hidden="false" customHeight="true" outlineLevel="0" collapsed="false">
      <c r="A6" s="2"/>
      <c r="B6" s="2"/>
      <c r="C6" s="2"/>
      <c r="D6" s="2"/>
      <c r="E6" s="2"/>
    </row>
    <row r="7" customFormat="false" ht="7.5" hidden="false" customHeight="true" outlineLevel="0" collapsed="false"/>
    <row r="8" customFormat="false" ht="21.75" hidden="false" customHeight="true" outlineLevel="0" collapsed="false">
      <c r="B8" s="6" t="s">
        <v>3</v>
      </c>
      <c r="C8" s="6"/>
      <c r="D8" s="6"/>
    </row>
    <row r="9" customFormat="false" ht="19.5" hidden="false" customHeight="true" outlineLevel="0" collapsed="false">
      <c r="B9" s="7" t="s">
        <v>4</v>
      </c>
      <c r="C9" s="8" t="s">
        <v>5</v>
      </c>
    </row>
    <row r="10" customFormat="false" ht="19.5" hidden="false" customHeight="true" outlineLevel="0" collapsed="false">
      <c r="B10" s="7" t="s">
        <v>6</v>
      </c>
      <c r="C10" s="8" t="s">
        <v>7</v>
      </c>
    </row>
    <row r="11" customFormat="false" ht="19.5" hidden="false" customHeight="true" outlineLevel="0" collapsed="false">
      <c r="B11" s="7" t="s">
        <v>8</v>
      </c>
      <c r="C11" s="8" t="s">
        <v>9</v>
      </c>
    </row>
    <row r="12" customFormat="false" ht="19.5" hidden="false" customHeight="true" outlineLevel="0" collapsed="false">
      <c r="B12" s="7" t="s">
        <v>10</v>
      </c>
      <c r="C12" s="8" t="s">
        <v>11</v>
      </c>
    </row>
    <row r="13" customFormat="false" ht="19.5" hidden="false" customHeight="true" outlineLevel="0" collapsed="false">
      <c r="B13" s="7" t="s">
        <v>12</v>
      </c>
      <c r="C13" s="8" t="s">
        <v>13</v>
      </c>
    </row>
    <row r="14" customFormat="false" ht="19.5" hidden="false" customHeight="true" outlineLevel="0" collapsed="false">
      <c r="B14" s="7" t="s">
        <v>14</v>
      </c>
      <c r="C14" s="8" t="s">
        <v>15</v>
      </c>
    </row>
    <row r="15" customFormat="false" ht="19.5" hidden="false" customHeight="true" outlineLevel="0" collapsed="false">
      <c r="B15" s="7" t="s">
        <v>16</v>
      </c>
      <c r="C15" s="8" t="s">
        <v>17</v>
      </c>
    </row>
    <row r="16" customFormat="false" ht="19.5" hidden="false" customHeight="true" outlineLevel="0" collapsed="false">
      <c r="B16" s="7" t="s">
        <v>18</v>
      </c>
      <c r="C16" s="8" t="s">
        <v>19</v>
      </c>
    </row>
    <row r="17" customFormat="false" ht="19.5" hidden="false" customHeight="true" outlineLevel="0" collapsed="false">
      <c r="B17" s="7" t="s">
        <v>20</v>
      </c>
      <c r="C17" s="8" t="s">
        <v>21</v>
      </c>
    </row>
    <row r="18" customFormat="false" ht="19.5" hidden="false" customHeight="true" outlineLevel="0" collapsed="false">
      <c r="B18" s="7" t="s">
        <v>22</v>
      </c>
      <c r="C18" s="8" t="s">
        <v>23</v>
      </c>
    </row>
    <row r="19" customFormat="false" ht="19.5" hidden="false" customHeight="true" outlineLevel="0" collapsed="false">
      <c r="B19" s="7" t="s">
        <v>24</v>
      </c>
      <c r="C19" s="8" t="s">
        <v>25</v>
      </c>
    </row>
    <row r="20" customFormat="false" ht="19.5" hidden="false" customHeight="true" outlineLevel="0" collapsed="false">
      <c r="B20" s="7" t="s">
        <v>26</v>
      </c>
      <c r="C20" s="8" t="s">
        <v>27</v>
      </c>
    </row>
    <row r="23" customFormat="false" ht="13.5" hidden="false" customHeight="true" outlineLevel="0" collapsed="false">
      <c r="B23" s="9" t="s">
        <v>28</v>
      </c>
      <c r="C23" s="9"/>
      <c r="D23" s="9"/>
    </row>
    <row r="25" customFormat="false" ht="15" hidden="false" customHeight="true" outlineLevel="0" collapsed="false">
      <c r="B25" s="6" t="s">
        <v>29</v>
      </c>
      <c r="C25" s="6"/>
      <c r="D25" s="6"/>
    </row>
    <row r="26" customFormat="false" ht="18" hidden="false" customHeight="true" outlineLevel="0" collapsed="false">
      <c r="B26" s="10" t="s">
        <v>30</v>
      </c>
      <c r="C26" s="11" t="s">
        <v>31</v>
      </c>
    </row>
    <row r="27" customFormat="false" ht="18" hidden="false" customHeight="true" outlineLevel="0" collapsed="false">
      <c r="B27" s="12" t="s">
        <v>30</v>
      </c>
      <c r="C27" s="11" t="s">
        <v>32</v>
      </c>
    </row>
    <row r="28" customFormat="false" ht="18" hidden="false" customHeight="true" outlineLevel="0" collapsed="false">
      <c r="B28" s="13" t="s">
        <v>30</v>
      </c>
      <c r="C28" s="11" t="s">
        <v>33</v>
      </c>
    </row>
    <row r="29" customFormat="false" ht="18" hidden="false" customHeight="true" outlineLevel="0" collapsed="false">
      <c r="B29" s="14" t="s">
        <v>30</v>
      </c>
      <c r="C29" s="11" t="s">
        <v>34</v>
      </c>
    </row>
  </sheetData>
  <mergeCells count="6">
    <mergeCell ref="B2:D2"/>
    <mergeCell ref="B3:D3"/>
    <mergeCell ref="B4:D4"/>
    <mergeCell ref="B8:D8"/>
    <mergeCell ref="B23:D23"/>
    <mergeCell ref="B25:D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72"/>
    <col collapsed="false" customWidth="true" hidden="false" outlineLevel="0" max="4" min="4" style="1" width="3"/>
  </cols>
  <sheetData>
    <row r="1" customFormat="false" ht="15.75" hidden="false" customHeight="true" outlineLevel="0" collapsed="false">
      <c r="A1" s="2"/>
      <c r="B1" s="2"/>
      <c r="C1" s="2"/>
      <c r="D1" s="2"/>
    </row>
    <row r="2" customFormat="false" ht="15.75" hidden="false" customHeight="true" outlineLevel="0" collapsed="false">
      <c r="A2" s="2"/>
      <c r="B2" s="15" t="s">
        <v>35</v>
      </c>
      <c r="C2" s="15"/>
      <c r="D2" s="2"/>
    </row>
    <row r="3" customFormat="false" ht="15.75" hidden="false" customHeight="true" outlineLevel="0" collapsed="false">
      <c r="A3" s="2"/>
      <c r="B3" s="2"/>
      <c r="C3" s="2"/>
      <c r="D3" s="2"/>
    </row>
    <row r="4" customFormat="false" ht="15.75" hidden="false" customHeight="true" outlineLevel="0" collapsed="false">
      <c r="A4" s="2"/>
      <c r="B4" s="2"/>
      <c r="C4" s="2"/>
      <c r="D4" s="2"/>
    </row>
    <row r="6" customFormat="false" ht="21.75" hidden="false" customHeight="true" outlineLevel="0" collapsed="false">
      <c r="B6" s="16" t="s">
        <v>36</v>
      </c>
      <c r="C6" s="16"/>
    </row>
    <row r="7" customFormat="false" ht="49.5" hidden="false" customHeight="true" outlineLevel="0" collapsed="false">
      <c r="B7" s="17" t="s">
        <v>37</v>
      </c>
      <c r="C7" s="17"/>
    </row>
    <row r="9" customFormat="false" ht="21.75" hidden="false" customHeight="true" outlineLevel="0" collapsed="false">
      <c r="B9" s="16" t="s">
        <v>38</v>
      </c>
      <c r="C9" s="16"/>
    </row>
    <row r="10" customFormat="false" ht="49.5" hidden="false" customHeight="true" outlineLevel="0" collapsed="false">
      <c r="B10" s="17" t="s">
        <v>39</v>
      </c>
      <c r="C10" s="17"/>
    </row>
    <row r="12" customFormat="false" ht="21.75" hidden="false" customHeight="true" outlineLevel="0" collapsed="false">
      <c r="B12" s="16" t="s">
        <v>40</v>
      </c>
      <c r="C12" s="16"/>
    </row>
    <row r="13" customFormat="false" ht="49.5" hidden="false" customHeight="true" outlineLevel="0" collapsed="false">
      <c r="B13" s="17" t="s">
        <v>41</v>
      </c>
      <c r="C13" s="17"/>
    </row>
    <row r="15" customFormat="false" ht="21.75" hidden="false" customHeight="true" outlineLevel="0" collapsed="false">
      <c r="B15" s="16" t="s">
        <v>42</v>
      </c>
      <c r="C15" s="16"/>
    </row>
    <row r="16" customFormat="false" ht="49.5" hidden="false" customHeight="true" outlineLevel="0" collapsed="false">
      <c r="B16" s="17" t="s">
        <v>43</v>
      </c>
      <c r="C16" s="17"/>
    </row>
    <row r="18" customFormat="false" ht="21.75" hidden="false" customHeight="true" outlineLevel="0" collapsed="false">
      <c r="B18" s="16" t="s">
        <v>44</v>
      </c>
      <c r="C18" s="16"/>
    </row>
    <row r="19" customFormat="false" ht="49.5" hidden="false" customHeight="true" outlineLevel="0" collapsed="false">
      <c r="B19" s="17" t="s">
        <v>45</v>
      </c>
      <c r="C19" s="17"/>
    </row>
    <row r="21" customFormat="false" ht="21.75" hidden="false" customHeight="true" outlineLevel="0" collapsed="false">
      <c r="B21" s="16" t="s">
        <v>46</v>
      </c>
      <c r="C21" s="16"/>
    </row>
    <row r="22" customFormat="false" ht="49.5" hidden="false" customHeight="true" outlineLevel="0" collapsed="false">
      <c r="B22" s="17" t="s">
        <v>47</v>
      </c>
      <c r="C22" s="17"/>
    </row>
    <row r="24" customFormat="false" ht="21.75" hidden="false" customHeight="true" outlineLevel="0" collapsed="false">
      <c r="B24" s="16" t="s">
        <v>48</v>
      </c>
      <c r="C24" s="16"/>
    </row>
    <row r="25" customFormat="false" ht="49.5" hidden="false" customHeight="true" outlineLevel="0" collapsed="false">
      <c r="B25" s="17" t="s">
        <v>49</v>
      </c>
      <c r="C25" s="17"/>
    </row>
    <row r="27" customFormat="false" ht="21.75" hidden="false" customHeight="true" outlineLevel="0" collapsed="false">
      <c r="B27" s="16" t="s">
        <v>50</v>
      </c>
      <c r="C27" s="16"/>
    </row>
    <row r="28" customFormat="false" ht="49.5" hidden="false" customHeight="true" outlineLevel="0" collapsed="false">
      <c r="B28" s="17" t="s">
        <v>51</v>
      </c>
      <c r="C28" s="17"/>
    </row>
    <row r="30" customFormat="false" ht="21.75" hidden="false" customHeight="true" outlineLevel="0" collapsed="false">
      <c r="B30" s="16" t="s">
        <v>52</v>
      </c>
      <c r="C30" s="16"/>
    </row>
    <row r="31" customFormat="false" ht="49.5" hidden="false" customHeight="true" outlineLevel="0" collapsed="false">
      <c r="B31" s="17" t="s">
        <v>53</v>
      </c>
      <c r="C31" s="17"/>
    </row>
  </sheetData>
  <mergeCells count="19">
    <mergeCell ref="B2:C2"/>
    <mergeCell ref="B6:C6"/>
    <mergeCell ref="B7:C7"/>
    <mergeCell ref="B9:C9"/>
    <mergeCell ref="B10:C10"/>
    <mergeCell ref="B12:C12"/>
    <mergeCell ref="B13:C13"/>
    <mergeCell ref="B15:C15"/>
    <mergeCell ref="B16:C16"/>
    <mergeCell ref="B18:C18"/>
    <mergeCell ref="B19:C19"/>
    <mergeCell ref="B21:C21"/>
    <mergeCell ref="B22:C22"/>
    <mergeCell ref="B24:C24"/>
    <mergeCell ref="B25:C25"/>
    <mergeCell ref="B27:C27"/>
    <mergeCell ref="B28:C28"/>
    <mergeCell ref="B30:C30"/>
    <mergeCell ref="B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6" min="2" style="1" width="16"/>
  </cols>
  <sheetData>
    <row r="1" customFormat="false" ht="30" hidden="false" customHeight="true" outlineLevel="0" collapsed="false">
      <c r="A1" s="18" t="s">
        <v>54</v>
      </c>
      <c r="B1" s="18"/>
      <c r="C1" s="18"/>
      <c r="D1" s="18"/>
      <c r="E1" s="18"/>
      <c r="F1" s="18"/>
    </row>
    <row r="2" customFormat="false" ht="19.5" hidden="false" customHeight="true" outlineLevel="0" collapsed="false">
      <c r="A2" s="2"/>
      <c r="B2" s="19" t="s">
        <v>55</v>
      </c>
      <c r="C2" s="19" t="s">
        <v>56</v>
      </c>
      <c r="D2" s="19" t="s">
        <v>57</v>
      </c>
      <c r="E2" s="19" t="s">
        <v>58</v>
      </c>
      <c r="F2" s="19" t="s">
        <v>59</v>
      </c>
    </row>
    <row r="3" customFormat="false" ht="18" hidden="false" customHeight="true" outlineLevel="0" collapsed="false">
      <c r="A3" s="20" t="s">
        <v>60</v>
      </c>
      <c r="B3" s="21"/>
      <c r="C3" s="21"/>
      <c r="D3" s="21"/>
      <c r="E3" s="21"/>
      <c r="F3" s="21"/>
    </row>
    <row r="4" customFormat="false" ht="18" hidden="false" customHeight="true" outlineLevel="0" collapsed="false">
      <c r="A4" s="22" t="s">
        <v>61</v>
      </c>
      <c r="B4" s="23"/>
      <c r="C4" s="23"/>
      <c r="D4" s="23"/>
      <c r="E4" s="23"/>
      <c r="F4" s="23"/>
    </row>
    <row r="5" customFormat="false" ht="18" hidden="false" customHeight="true" outlineLevel="0" collapsed="false">
      <c r="A5" s="24" t="s">
        <v>62</v>
      </c>
      <c r="B5" s="25" t="n">
        <f aca="false">B3-B4</f>
        <v>0</v>
      </c>
      <c r="C5" s="25" t="n">
        <f aca="false">C3-C4</f>
        <v>0</v>
      </c>
      <c r="D5" s="25" t="n">
        <f aca="false">D3-D4</f>
        <v>0</v>
      </c>
      <c r="E5" s="25" t="n">
        <f aca="false">E3-E4</f>
        <v>0</v>
      </c>
      <c r="F5" s="25" t="n">
        <f aca="false">F3-F4</f>
        <v>0</v>
      </c>
    </row>
    <row r="6" customFormat="false" ht="18" hidden="false" customHeight="true" outlineLevel="0" collapsed="false">
      <c r="A6" s="26" t="s">
        <v>63</v>
      </c>
      <c r="B6" s="27" t="str">
        <f aca="false">IFERROR(B5/B3,"-")</f>
        <v>-</v>
      </c>
      <c r="C6" s="27" t="str">
        <f aca="false">IFERROR(C5/C3,"-")</f>
        <v>-</v>
      </c>
      <c r="D6" s="27" t="str">
        <f aca="false">IFERROR(D5/D3,"-")</f>
        <v>-</v>
      </c>
      <c r="E6" s="27" t="str">
        <f aca="false">IFERROR(E5/E3,"-")</f>
        <v>-</v>
      </c>
      <c r="F6" s="27" t="str">
        <f aca="false">IFERROR(F5/F3,"-")</f>
        <v>-</v>
      </c>
    </row>
    <row r="7" customFormat="false" ht="7.5" hidden="false" customHeight="true" outlineLevel="0" collapsed="false">
      <c r="A7" s="28"/>
    </row>
    <row r="8" customFormat="false" ht="18" hidden="false" customHeight="true" outlineLevel="0" collapsed="false">
      <c r="A8" s="22" t="s">
        <v>64</v>
      </c>
      <c r="B8" s="23"/>
      <c r="C8" s="23"/>
      <c r="D8" s="23"/>
      <c r="E8" s="23"/>
      <c r="F8" s="23"/>
    </row>
    <row r="9" customFormat="false" ht="18" hidden="false" customHeight="true" outlineLevel="0" collapsed="false">
      <c r="A9" s="22" t="s">
        <v>65</v>
      </c>
      <c r="B9" s="23"/>
      <c r="C9" s="23"/>
      <c r="D9" s="23"/>
      <c r="E9" s="23"/>
      <c r="F9" s="23"/>
    </row>
    <row r="10" customFormat="false" ht="18" hidden="false" customHeight="true" outlineLevel="0" collapsed="false">
      <c r="A10" s="22" t="s">
        <v>66</v>
      </c>
      <c r="B10" s="23"/>
      <c r="C10" s="23"/>
      <c r="D10" s="23"/>
      <c r="E10" s="23"/>
      <c r="F10" s="23"/>
    </row>
    <row r="11" customFormat="false" ht="18" hidden="false" customHeight="true" outlineLevel="0" collapsed="false">
      <c r="A11" s="24" t="s">
        <v>67</v>
      </c>
      <c r="B11" s="25" t="n">
        <f aca="false">B5-B8-B9-B10</f>
        <v>0</v>
      </c>
      <c r="C11" s="25" t="n">
        <f aca="false">C5-C8-C9-C10</f>
        <v>0</v>
      </c>
      <c r="D11" s="25" t="n">
        <f aca="false">D5-D8-D9-D10</f>
        <v>0</v>
      </c>
      <c r="E11" s="25" t="n">
        <f aca="false">E5-E8-E9-E10</f>
        <v>0</v>
      </c>
      <c r="F11" s="25" t="n">
        <f aca="false">F5-F8-F9-F10</f>
        <v>0</v>
      </c>
    </row>
    <row r="12" customFormat="false" ht="18" hidden="false" customHeight="true" outlineLevel="0" collapsed="false">
      <c r="A12" s="26" t="s">
        <v>68</v>
      </c>
      <c r="B12" s="27" t="str">
        <f aca="false">IFERROR(B11/B3,"-")</f>
        <v>-</v>
      </c>
      <c r="C12" s="27" t="str">
        <f aca="false">IFERROR(C11/C3,"-")</f>
        <v>-</v>
      </c>
      <c r="D12" s="27" t="str">
        <f aca="false">IFERROR(D11/D3,"-")</f>
        <v>-</v>
      </c>
      <c r="E12" s="27" t="str">
        <f aca="false">IFERROR(E11/E3,"-")</f>
        <v>-</v>
      </c>
      <c r="F12" s="27" t="str">
        <f aca="false">IFERROR(F11/F3,"-")</f>
        <v>-</v>
      </c>
    </row>
    <row r="13" customFormat="false" ht="18" hidden="false" customHeight="true" outlineLevel="0" collapsed="false">
      <c r="A13" s="29" t="s">
        <v>69</v>
      </c>
      <c r="B13" s="23"/>
      <c r="C13" s="23"/>
      <c r="D13" s="23"/>
      <c r="E13" s="23"/>
      <c r="F13" s="23"/>
    </row>
    <row r="14" customFormat="false" ht="18" hidden="false" customHeight="true" outlineLevel="0" collapsed="false">
      <c r="A14" s="26" t="s">
        <v>70</v>
      </c>
      <c r="B14" s="27" t="str">
        <f aca="false">IFERROR(B13/B3,"-")</f>
        <v>-</v>
      </c>
      <c r="C14" s="27" t="str">
        <f aca="false">IFERROR(C13/C3,"-")</f>
        <v>-</v>
      </c>
      <c r="D14" s="27" t="str">
        <f aca="false">IFERROR(D13/D3,"-")</f>
        <v>-</v>
      </c>
      <c r="E14" s="27" t="str">
        <f aca="false">IFERROR(E13/E3,"-")</f>
        <v>-</v>
      </c>
      <c r="F14" s="27" t="str">
        <f aca="false">IFERROR(F13/F3,"-")</f>
        <v>-</v>
      </c>
    </row>
    <row r="15" customFormat="false" ht="7.5" hidden="false" customHeight="true" outlineLevel="0" collapsed="false">
      <c r="A15" s="28"/>
    </row>
    <row r="16" customFormat="false" ht="18" hidden="false" customHeight="true" outlineLevel="0" collapsed="false">
      <c r="A16" s="22" t="s">
        <v>71</v>
      </c>
      <c r="B16" s="23"/>
      <c r="C16" s="23"/>
      <c r="D16" s="23"/>
      <c r="E16" s="23"/>
      <c r="F16" s="23"/>
    </row>
    <row r="17" customFormat="false" ht="18" hidden="false" customHeight="true" outlineLevel="0" collapsed="false">
      <c r="A17" s="26" t="s">
        <v>72</v>
      </c>
      <c r="B17" s="30" t="str">
        <f aca="false">IFERROR(B11/B16,"-")</f>
        <v>-</v>
      </c>
      <c r="C17" s="30" t="str">
        <f aca="false">IFERROR(C11/C16,"-")</f>
        <v>-</v>
      </c>
      <c r="D17" s="30" t="str">
        <f aca="false">IFERROR(D11/D16,"-")</f>
        <v>-</v>
      </c>
      <c r="E17" s="30" t="str">
        <f aca="false">IFERROR(E11/E16,"-")</f>
        <v>-</v>
      </c>
      <c r="F17" s="30" t="str">
        <f aca="false">IFERROR(F11/F16,"-")</f>
        <v>-</v>
      </c>
    </row>
    <row r="18" customFormat="false" ht="18" hidden="false" customHeight="true" outlineLevel="0" collapsed="false">
      <c r="A18" s="22" t="s">
        <v>73</v>
      </c>
      <c r="B18" s="23"/>
      <c r="C18" s="23"/>
      <c r="D18" s="23"/>
      <c r="E18" s="23"/>
      <c r="F18" s="23"/>
    </row>
    <row r="19" customFormat="false" ht="18" hidden="false" customHeight="true" outlineLevel="0" collapsed="false">
      <c r="A19" s="24" t="s">
        <v>74</v>
      </c>
      <c r="B19" s="31" t="n">
        <f aca="false">B11-B16+B18</f>
        <v>0</v>
      </c>
      <c r="C19" s="31" t="n">
        <f aca="false">C11-C16+C18</f>
        <v>0</v>
      </c>
      <c r="D19" s="31" t="n">
        <f aca="false">D11-D16+D18</f>
        <v>0</v>
      </c>
      <c r="E19" s="31" t="n">
        <f aca="false">E11-E16+E18</f>
        <v>0</v>
      </c>
      <c r="F19" s="31" t="n">
        <f aca="false">F11-F16+F18</f>
        <v>0</v>
      </c>
    </row>
    <row r="20" customFormat="false" ht="18" hidden="false" customHeight="true" outlineLevel="0" collapsed="false">
      <c r="A20" s="22" t="s">
        <v>75</v>
      </c>
      <c r="B20" s="23"/>
      <c r="C20" s="23"/>
      <c r="D20" s="23"/>
      <c r="E20" s="23"/>
      <c r="F20" s="23"/>
    </row>
    <row r="21" customFormat="false" ht="18" hidden="false" customHeight="true" outlineLevel="0" collapsed="false">
      <c r="A21" s="26" t="s">
        <v>76</v>
      </c>
      <c r="B21" s="32" t="str">
        <f aca="false">IFERROR(B20/B19,"-")</f>
        <v>-</v>
      </c>
      <c r="C21" s="32" t="str">
        <f aca="false">IFERROR(C20/C19,"-")</f>
        <v>-</v>
      </c>
      <c r="D21" s="32" t="str">
        <f aca="false">IFERROR(D20/D19,"-")</f>
        <v>-</v>
      </c>
      <c r="E21" s="32" t="str">
        <f aca="false">IFERROR(E20/E19,"-")</f>
        <v>-</v>
      </c>
      <c r="F21" s="32" t="str">
        <f aca="false">IFERROR(F20/F19,"-")</f>
        <v>-</v>
      </c>
    </row>
    <row r="22" customFormat="false" ht="18" hidden="false" customHeight="true" outlineLevel="0" collapsed="false">
      <c r="A22" s="24" t="s">
        <v>77</v>
      </c>
      <c r="B22" s="31" t="n">
        <f aca="false">B19-B20</f>
        <v>0</v>
      </c>
      <c r="C22" s="31" t="n">
        <f aca="false">C19-C20</f>
        <v>0</v>
      </c>
      <c r="D22" s="31" t="n">
        <f aca="false">D19-D20</f>
        <v>0</v>
      </c>
      <c r="E22" s="31" t="n">
        <f aca="false">E19-E20</f>
        <v>0</v>
      </c>
      <c r="F22" s="31" t="n">
        <f aca="false">F19-F20</f>
        <v>0</v>
      </c>
    </row>
    <row r="23" customFormat="false" ht="18" hidden="false" customHeight="true" outlineLevel="0" collapsed="false">
      <c r="A23" s="26" t="s">
        <v>78</v>
      </c>
      <c r="B23" s="32" t="str">
        <f aca="false">IFERROR(B22/B3,"-")</f>
        <v>-</v>
      </c>
      <c r="C23" s="32" t="str">
        <f aca="false">IFERROR(C22/C3,"-")</f>
        <v>-</v>
      </c>
      <c r="D23" s="32" t="str">
        <f aca="false">IFERROR(D22/D3,"-")</f>
        <v>-</v>
      </c>
      <c r="E23" s="32" t="str">
        <f aca="false">IFERROR(E22/E3,"-")</f>
        <v>-</v>
      </c>
      <c r="F23" s="32" t="str">
        <f aca="false">IFERROR(F22/F3,"-")</f>
        <v>-</v>
      </c>
    </row>
    <row r="24" customFormat="false" ht="7.5" hidden="false" customHeight="true" outlineLevel="0" collapsed="false">
      <c r="A24" s="28"/>
    </row>
    <row r="25" customFormat="false" ht="18" hidden="false" customHeight="true" outlineLevel="0" collapsed="false">
      <c r="A25" s="22" t="s">
        <v>79</v>
      </c>
      <c r="B25" s="33"/>
      <c r="C25" s="33"/>
      <c r="D25" s="33"/>
      <c r="E25" s="33"/>
      <c r="F25" s="33"/>
    </row>
    <row r="26" customFormat="false" ht="18" hidden="false" customHeight="true" outlineLevel="0" collapsed="false">
      <c r="A26" s="26" t="s">
        <v>80</v>
      </c>
      <c r="B26" s="34" t="str">
        <f aca="false">IFERROR(B22/B25,"-")</f>
        <v>-</v>
      </c>
      <c r="C26" s="34" t="str">
        <f aca="false">IFERROR(C22/C25,"-")</f>
        <v>-</v>
      </c>
      <c r="D26" s="34" t="str">
        <f aca="false">IFERROR(D22/D25,"-")</f>
        <v>-</v>
      </c>
      <c r="E26" s="34" t="str">
        <f aca="false">IFERROR(E22/E25,"-")</f>
        <v>-</v>
      </c>
      <c r="F26" s="34" t="str">
        <f aca="false">IFERROR(F22/F25,"-")</f>
        <v>-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6" min="2" style="1" width="16"/>
  </cols>
  <sheetData>
    <row r="1" customFormat="false" ht="30" hidden="false" customHeight="true" outlineLevel="0" collapsed="false">
      <c r="A1" s="18" t="s">
        <v>81</v>
      </c>
      <c r="B1" s="18"/>
      <c r="C1" s="18"/>
      <c r="D1" s="18"/>
      <c r="E1" s="18"/>
      <c r="F1" s="18"/>
    </row>
    <row r="2" customFormat="false" ht="19.5" hidden="false" customHeight="true" outlineLevel="0" collapsed="false">
      <c r="A2" s="2"/>
      <c r="B2" s="19" t="s">
        <v>55</v>
      </c>
      <c r="C2" s="19" t="s">
        <v>56</v>
      </c>
      <c r="D2" s="19" t="s">
        <v>57</v>
      </c>
      <c r="E2" s="19" t="s">
        <v>58</v>
      </c>
      <c r="F2" s="19" t="s">
        <v>59</v>
      </c>
    </row>
    <row r="3" customFormat="false" ht="18" hidden="false" customHeight="true" outlineLevel="0" collapsed="false">
      <c r="A3" s="35" t="s">
        <v>82</v>
      </c>
    </row>
    <row r="4" customFormat="false" ht="18" hidden="false" customHeight="true" outlineLevel="0" collapsed="false">
      <c r="A4" s="28" t="s">
        <v>83</v>
      </c>
      <c r="B4" s="23"/>
      <c r="C4" s="23"/>
      <c r="D4" s="23"/>
      <c r="E4" s="23"/>
      <c r="F4" s="23"/>
    </row>
    <row r="5" customFormat="false" ht="18" hidden="false" customHeight="true" outlineLevel="0" collapsed="false">
      <c r="A5" s="28" t="s">
        <v>84</v>
      </c>
      <c r="B5" s="23"/>
      <c r="C5" s="23"/>
      <c r="D5" s="23"/>
      <c r="E5" s="23"/>
      <c r="F5" s="23"/>
    </row>
    <row r="6" customFormat="false" ht="18" hidden="false" customHeight="true" outlineLevel="0" collapsed="false">
      <c r="A6" s="28" t="s">
        <v>85</v>
      </c>
      <c r="B6" s="23"/>
      <c r="C6" s="23"/>
      <c r="D6" s="23"/>
      <c r="E6" s="23"/>
      <c r="F6" s="23"/>
    </row>
    <row r="7" customFormat="false" ht="18" hidden="false" customHeight="true" outlineLevel="0" collapsed="false">
      <c r="A7" s="28" t="s">
        <v>86</v>
      </c>
      <c r="B7" s="23"/>
      <c r="C7" s="23"/>
      <c r="D7" s="23"/>
      <c r="E7" s="23"/>
      <c r="F7" s="23"/>
    </row>
    <row r="8" customFormat="false" ht="18" hidden="false" customHeight="true" outlineLevel="0" collapsed="false">
      <c r="A8" s="28" t="s">
        <v>87</v>
      </c>
      <c r="B8" s="23"/>
      <c r="C8" s="23"/>
      <c r="D8" s="23"/>
      <c r="E8" s="23"/>
      <c r="F8" s="23"/>
    </row>
    <row r="9" customFormat="false" ht="18" hidden="false" customHeight="true" outlineLevel="0" collapsed="false">
      <c r="A9" s="24" t="s">
        <v>88</v>
      </c>
      <c r="B9" s="25" t="n">
        <f aca="false">SUM(B4:B8)</f>
        <v>0</v>
      </c>
      <c r="C9" s="25" t="n">
        <f aca="false">SUM(C4:C8)</f>
        <v>0</v>
      </c>
      <c r="D9" s="25" t="n">
        <f aca="false">SUM(D4:D8)</f>
        <v>0</v>
      </c>
      <c r="E9" s="25" t="n">
        <f aca="false">SUM(E4:E8)</f>
        <v>0</v>
      </c>
      <c r="F9" s="25" t="n">
        <f aca="false">SUM(F4:F8)</f>
        <v>0</v>
      </c>
    </row>
    <row r="10" customFormat="false" ht="18" hidden="false" customHeight="true" outlineLevel="0" collapsed="false">
      <c r="A10" s="28" t="s">
        <v>89</v>
      </c>
      <c r="B10" s="23"/>
      <c r="C10" s="23"/>
      <c r="D10" s="23"/>
      <c r="E10" s="23"/>
      <c r="F10" s="23"/>
    </row>
    <row r="11" customFormat="false" ht="18" hidden="false" customHeight="true" outlineLevel="0" collapsed="false">
      <c r="A11" s="28" t="s">
        <v>90</v>
      </c>
      <c r="B11" s="23"/>
      <c r="C11" s="23"/>
      <c r="D11" s="23"/>
      <c r="E11" s="23"/>
      <c r="F11" s="23"/>
    </row>
    <row r="12" customFormat="false" ht="18" hidden="false" customHeight="true" outlineLevel="0" collapsed="false">
      <c r="A12" s="28" t="s">
        <v>91</v>
      </c>
      <c r="B12" s="23"/>
      <c r="C12" s="23"/>
      <c r="D12" s="23"/>
      <c r="E12" s="23"/>
      <c r="F12" s="23"/>
    </row>
    <row r="13" customFormat="false" ht="18" hidden="false" customHeight="true" outlineLevel="0" collapsed="false">
      <c r="A13" s="28" t="s">
        <v>92</v>
      </c>
      <c r="B13" s="23"/>
      <c r="C13" s="23"/>
      <c r="D13" s="23"/>
      <c r="E13" s="23"/>
      <c r="F13" s="23"/>
    </row>
    <row r="14" customFormat="false" ht="18" hidden="false" customHeight="true" outlineLevel="0" collapsed="false">
      <c r="A14" s="24" t="s">
        <v>93</v>
      </c>
      <c r="B14" s="25" t="n">
        <f aca="false">SUM(B10:B13)</f>
        <v>0</v>
      </c>
      <c r="C14" s="25" t="n">
        <f aca="false">SUM(C10:C13)</f>
        <v>0</v>
      </c>
      <c r="D14" s="25" t="n">
        <f aca="false">SUM(D10:D13)</f>
        <v>0</v>
      </c>
      <c r="E14" s="25" t="n">
        <f aca="false">SUM(E10:E13)</f>
        <v>0</v>
      </c>
      <c r="F14" s="25" t="n">
        <f aca="false">SUM(F10:F13)</f>
        <v>0</v>
      </c>
    </row>
    <row r="15" customFormat="false" ht="18" hidden="false" customHeight="true" outlineLevel="0" collapsed="false">
      <c r="A15" s="20" t="s">
        <v>94</v>
      </c>
      <c r="B15" s="36" t="n">
        <f aca="false">B9+B14</f>
        <v>0</v>
      </c>
      <c r="C15" s="36" t="n">
        <f aca="false">C9+C14</f>
        <v>0</v>
      </c>
      <c r="D15" s="36" t="n">
        <f aca="false">D9+D14</f>
        <v>0</v>
      </c>
      <c r="E15" s="36" t="n">
        <f aca="false">E9+E14</f>
        <v>0</v>
      </c>
      <c r="F15" s="36" t="n">
        <f aca="false">F9+F14</f>
        <v>0</v>
      </c>
    </row>
    <row r="16" customFormat="false" ht="7.5" hidden="false" customHeight="true" outlineLevel="0" collapsed="false">
      <c r="A16" s="28"/>
    </row>
    <row r="17" customFormat="false" ht="18" hidden="false" customHeight="true" outlineLevel="0" collapsed="false">
      <c r="A17" s="35" t="s">
        <v>95</v>
      </c>
    </row>
    <row r="18" customFormat="false" ht="18" hidden="false" customHeight="true" outlineLevel="0" collapsed="false">
      <c r="A18" s="28" t="s">
        <v>96</v>
      </c>
      <c r="B18" s="23"/>
      <c r="C18" s="23"/>
      <c r="D18" s="23"/>
      <c r="E18" s="23"/>
      <c r="F18" s="23"/>
    </row>
    <row r="19" customFormat="false" ht="18" hidden="false" customHeight="true" outlineLevel="0" collapsed="false">
      <c r="A19" s="28" t="s">
        <v>97</v>
      </c>
      <c r="B19" s="23"/>
      <c r="C19" s="23"/>
      <c r="D19" s="23"/>
      <c r="E19" s="23"/>
      <c r="F19" s="23"/>
    </row>
    <row r="20" customFormat="false" ht="18" hidden="false" customHeight="true" outlineLevel="0" collapsed="false">
      <c r="A20" s="28" t="s">
        <v>98</v>
      </c>
      <c r="B20" s="23"/>
      <c r="C20" s="23"/>
      <c r="D20" s="23"/>
      <c r="E20" s="23"/>
      <c r="F20" s="23"/>
    </row>
    <row r="21" customFormat="false" ht="18" hidden="false" customHeight="true" outlineLevel="0" collapsed="false">
      <c r="A21" s="24" t="s">
        <v>99</v>
      </c>
      <c r="B21" s="25" t="n">
        <f aca="false">SUM(B17:B19)</f>
        <v>0</v>
      </c>
      <c r="C21" s="25" t="n">
        <f aca="false">SUM(C17:C19)</f>
        <v>0</v>
      </c>
      <c r="D21" s="25" t="n">
        <f aca="false">SUM(D17:D19)</f>
        <v>0</v>
      </c>
      <c r="E21" s="25" t="n">
        <f aca="false">SUM(E17:E19)</f>
        <v>0</v>
      </c>
      <c r="F21" s="25" t="n">
        <f aca="false">SUM(F17:F19)</f>
        <v>0</v>
      </c>
    </row>
    <row r="22" customFormat="false" ht="18" hidden="false" customHeight="true" outlineLevel="0" collapsed="false">
      <c r="A22" s="28" t="s">
        <v>100</v>
      </c>
      <c r="B22" s="23"/>
      <c r="C22" s="23"/>
      <c r="D22" s="23"/>
      <c r="E22" s="23"/>
      <c r="F22" s="23"/>
    </row>
    <row r="23" customFormat="false" ht="18" hidden="false" customHeight="true" outlineLevel="0" collapsed="false">
      <c r="A23" s="28" t="s">
        <v>101</v>
      </c>
      <c r="B23" s="23"/>
      <c r="C23" s="23"/>
      <c r="D23" s="23"/>
      <c r="E23" s="23"/>
      <c r="F23" s="23"/>
    </row>
    <row r="24" customFormat="false" ht="18" hidden="false" customHeight="true" outlineLevel="0" collapsed="false">
      <c r="A24" s="24" t="s">
        <v>102</v>
      </c>
      <c r="B24" s="25" t="n">
        <f aca="false">B20+B21+B22</f>
        <v>0</v>
      </c>
      <c r="C24" s="25" t="n">
        <f aca="false">C20+C21+C22</f>
        <v>0</v>
      </c>
      <c r="D24" s="25" t="n">
        <f aca="false">D20+D21+D22</f>
        <v>0</v>
      </c>
      <c r="E24" s="25" t="n">
        <f aca="false">E20+E21+E22</f>
        <v>0</v>
      </c>
      <c r="F24" s="25" t="n">
        <f aca="false">F20+F21+F22</f>
        <v>0</v>
      </c>
    </row>
    <row r="25" customFormat="false" ht="18" hidden="false" customHeight="true" outlineLevel="0" collapsed="false">
      <c r="A25" s="28" t="s">
        <v>103</v>
      </c>
      <c r="B25" s="23"/>
      <c r="C25" s="23"/>
      <c r="D25" s="23"/>
      <c r="E25" s="23"/>
      <c r="F25" s="23"/>
    </row>
    <row r="26" customFormat="false" ht="18" hidden="false" customHeight="true" outlineLevel="0" collapsed="false">
      <c r="A26" s="28" t="s">
        <v>104</v>
      </c>
      <c r="B26" s="23"/>
      <c r="C26" s="23"/>
      <c r="D26" s="23"/>
      <c r="E26" s="23"/>
      <c r="F26" s="23"/>
    </row>
    <row r="27" customFormat="false" ht="18" hidden="false" customHeight="true" outlineLevel="0" collapsed="false">
      <c r="A27" s="28" t="s">
        <v>105</v>
      </c>
      <c r="B27" s="23"/>
      <c r="C27" s="23"/>
      <c r="D27" s="23"/>
      <c r="E27" s="23"/>
      <c r="F27" s="23"/>
    </row>
    <row r="28" customFormat="false" ht="18" hidden="false" customHeight="true" outlineLevel="0" collapsed="false">
      <c r="A28" s="24" t="s">
        <v>106</v>
      </c>
      <c r="B28" s="25" t="n">
        <f aca="false">SUM(B24:B26)</f>
        <v>0</v>
      </c>
      <c r="C28" s="25" t="n">
        <f aca="false">SUM(C24:C26)</f>
        <v>0</v>
      </c>
      <c r="D28" s="25" t="n">
        <f aca="false">SUM(D24:D26)</f>
        <v>0</v>
      </c>
      <c r="E28" s="25" t="n">
        <f aca="false">SUM(E24:E26)</f>
        <v>0</v>
      </c>
      <c r="F28" s="25" t="n">
        <f aca="false">SUM(F24:F26)</f>
        <v>0</v>
      </c>
    </row>
    <row r="29" customFormat="false" ht="18" hidden="false" customHeight="true" outlineLevel="0" collapsed="false">
      <c r="A29" s="20" t="s">
        <v>107</v>
      </c>
      <c r="B29" s="36" t="n">
        <f aca="false">B23+B27</f>
        <v>0</v>
      </c>
      <c r="C29" s="36" t="n">
        <f aca="false">C23+C27</f>
        <v>0</v>
      </c>
      <c r="D29" s="36" t="n">
        <f aca="false">D23+D27</f>
        <v>0</v>
      </c>
      <c r="E29" s="36" t="n">
        <f aca="false">E23+E27</f>
        <v>0</v>
      </c>
      <c r="F29" s="36" t="n">
        <f aca="false">F23+F27</f>
        <v>0</v>
      </c>
    </row>
    <row r="30" customFormat="false" ht="7.5" hidden="false" customHeight="true" outlineLevel="0" collapsed="false">
      <c r="A30" s="28"/>
    </row>
    <row r="31" customFormat="false" ht="18" hidden="false" customHeight="true" outlineLevel="0" collapsed="false">
      <c r="A31" s="37" t="s">
        <v>108</v>
      </c>
      <c r="B31" s="38" t="n">
        <f aca="false">B15-B28</f>
        <v>0</v>
      </c>
      <c r="C31" s="38" t="n">
        <f aca="false">C15-C28</f>
        <v>0</v>
      </c>
      <c r="D31" s="38" t="n">
        <f aca="false">D15-D28</f>
        <v>0</v>
      </c>
      <c r="E31" s="38" t="n">
        <f aca="false">E15-E28</f>
        <v>0</v>
      </c>
      <c r="F31" s="38" t="n">
        <f aca="false">F15-F28</f>
        <v>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6" min="2" style="1" width="16"/>
  </cols>
  <sheetData>
    <row r="1" customFormat="false" ht="30" hidden="false" customHeight="true" outlineLevel="0" collapsed="false">
      <c r="A1" s="18" t="s">
        <v>109</v>
      </c>
      <c r="B1" s="18"/>
      <c r="C1" s="18"/>
      <c r="D1" s="18"/>
      <c r="E1" s="18"/>
      <c r="F1" s="18"/>
    </row>
    <row r="2" customFormat="false" ht="19.5" hidden="false" customHeight="true" outlineLevel="0" collapsed="false">
      <c r="A2" s="2"/>
      <c r="B2" s="19" t="s">
        <v>55</v>
      </c>
      <c r="C2" s="19" t="s">
        <v>56</v>
      </c>
      <c r="D2" s="19" t="s">
        <v>57</v>
      </c>
      <c r="E2" s="19" t="s">
        <v>58</v>
      </c>
      <c r="F2" s="19" t="s">
        <v>59</v>
      </c>
    </row>
    <row r="3" customFormat="false" ht="18" hidden="false" customHeight="true" outlineLevel="0" collapsed="false">
      <c r="A3" s="35" t="s">
        <v>110</v>
      </c>
    </row>
    <row r="4" customFormat="false" ht="18" hidden="false" customHeight="true" outlineLevel="0" collapsed="false">
      <c r="A4" s="28" t="s">
        <v>111</v>
      </c>
      <c r="B4" s="23"/>
      <c r="C4" s="23"/>
      <c r="D4" s="23"/>
      <c r="E4" s="23"/>
      <c r="F4" s="23"/>
    </row>
    <row r="5" customFormat="false" ht="18" hidden="false" customHeight="true" outlineLevel="0" collapsed="false">
      <c r="A5" s="28" t="s">
        <v>112</v>
      </c>
      <c r="B5" s="23"/>
      <c r="C5" s="23"/>
      <c r="D5" s="23"/>
      <c r="E5" s="23"/>
      <c r="F5" s="23"/>
    </row>
    <row r="6" customFormat="false" ht="18" hidden="false" customHeight="true" outlineLevel="0" collapsed="false">
      <c r="A6" s="28" t="s">
        <v>113</v>
      </c>
      <c r="B6" s="23"/>
      <c r="C6" s="23"/>
      <c r="D6" s="23"/>
      <c r="E6" s="23"/>
      <c r="F6" s="23"/>
    </row>
    <row r="7" customFormat="false" ht="18" hidden="false" customHeight="true" outlineLevel="0" collapsed="false">
      <c r="A7" s="28" t="s">
        <v>114</v>
      </c>
      <c r="B7" s="23"/>
      <c r="C7" s="23"/>
      <c r="D7" s="23"/>
      <c r="E7" s="23"/>
      <c r="F7" s="23"/>
    </row>
    <row r="8" customFormat="false" ht="18" hidden="false" customHeight="true" outlineLevel="0" collapsed="false">
      <c r="A8" s="24" t="s">
        <v>115</v>
      </c>
      <c r="B8" s="25" t="n">
        <f aca="false">SUM(B4:B7)</f>
        <v>0</v>
      </c>
      <c r="C8" s="25" t="n">
        <f aca="false">SUM(C4:C7)</f>
        <v>0</v>
      </c>
      <c r="D8" s="25" t="n">
        <f aca="false">SUM(D4:D7)</f>
        <v>0</v>
      </c>
      <c r="E8" s="25" t="n">
        <f aca="false">SUM(E4:E7)</f>
        <v>0</v>
      </c>
      <c r="F8" s="25" t="n">
        <f aca="false">SUM(F4:F7)</f>
        <v>0</v>
      </c>
    </row>
    <row r="9" customFormat="false" ht="7.5" hidden="false" customHeight="true" outlineLevel="0" collapsed="false">
      <c r="A9" s="28"/>
    </row>
    <row r="10" customFormat="false" ht="18" hidden="false" customHeight="true" outlineLevel="0" collapsed="false">
      <c r="A10" s="35" t="s">
        <v>116</v>
      </c>
    </row>
    <row r="11" customFormat="false" ht="18" hidden="false" customHeight="true" outlineLevel="0" collapsed="false">
      <c r="A11" s="28" t="s">
        <v>117</v>
      </c>
      <c r="B11" s="23"/>
      <c r="C11" s="23"/>
      <c r="D11" s="23"/>
      <c r="E11" s="23"/>
      <c r="F11" s="23"/>
    </row>
    <row r="12" customFormat="false" ht="18" hidden="false" customHeight="true" outlineLevel="0" collapsed="false">
      <c r="A12" s="28" t="s">
        <v>118</v>
      </c>
      <c r="B12" s="23"/>
      <c r="C12" s="23"/>
      <c r="D12" s="23"/>
      <c r="E12" s="23"/>
      <c r="F12" s="23"/>
    </row>
    <row r="13" customFormat="false" ht="18" hidden="false" customHeight="true" outlineLevel="0" collapsed="false">
      <c r="A13" s="28" t="s">
        <v>119</v>
      </c>
      <c r="B13" s="23"/>
      <c r="C13" s="23"/>
      <c r="D13" s="23"/>
      <c r="E13" s="23"/>
      <c r="F13" s="23"/>
    </row>
    <row r="14" customFormat="false" ht="18" hidden="false" customHeight="true" outlineLevel="0" collapsed="false">
      <c r="A14" s="28" t="s">
        <v>120</v>
      </c>
      <c r="B14" s="23"/>
      <c r="C14" s="23"/>
      <c r="D14" s="23"/>
      <c r="E14" s="23"/>
      <c r="F14" s="23"/>
    </row>
    <row r="15" customFormat="false" ht="18" hidden="false" customHeight="true" outlineLevel="0" collapsed="false">
      <c r="A15" s="24" t="s">
        <v>121</v>
      </c>
      <c r="B15" s="25" t="n">
        <f aca="false">SUM(B10:B13)</f>
        <v>0</v>
      </c>
      <c r="C15" s="25" t="n">
        <f aca="false">SUM(C10:B13)</f>
        <v>0</v>
      </c>
      <c r="D15" s="25" t="n">
        <f aca="false">SUM(D10:B13)</f>
        <v>0</v>
      </c>
      <c r="E15" s="25" t="n">
        <f aca="false">SUM(E10:B13)</f>
        <v>0</v>
      </c>
      <c r="F15" s="25" t="n">
        <f aca="false">SUM(F10:B13)</f>
        <v>0</v>
      </c>
    </row>
    <row r="16" customFormat="false" ht="7.5" hidden="false" customHeight="true" outlineLevel="0" collapsed="false">
      <c r="A16" s="28"/>
    </row>
    <row r="17" customFormat="false" ht="18" hidden="false" customHeight="true" outlineLevel="0" collapsed="false">
      <c r="A17" s="35" t="s">
        <v>122</v>
      </c>
    </row>
    <row r="18" customFormat="false" ht="18" hidden="false" customHeight="true" outlineLevel="0" collapsed="false">
      <c r="A18" s="28" t="s">
        <v>123</v>
      </c>
      <c r="B18" s="23"/>
      <c r="C18" s="23"/>
      <c r="D18" s="23"/>
      <c r="E18" s="23"/>
      <c r="F18" s="23"/>
    </row>
    <row r="19" customFormat="false" ht="18" hidden="false" customHeight="true" outlineLevel="0" collapsed="false">
      <c r="A19" s="28" t="s">
        <v>124</v>
      </c>
      <c r="B19" s="23"/>
      <c r="C19" s="23"/>
      <c r="D19" s="23"/>
      <c r="E19" s="23"/>
      <c r="F19" s="23"/>
    </row>
    <row r="20" customFormat="false" ht="18" hidden="false" customHeight="true" outlineLevel="0" collapsed="false">
      <c r="A20" s="28" t="s">
        <v>125</v>
      </c>
      <c r="B20" s="23"/>
      <c r="C20" s="23"/>
      <c r="D20" s="23"/>
      <c r="E20" s="23"/>
      <c r="F20" s="23"/>
    </row>
    <row r="21" customFormat="false" ht="18" hidden="false" customHeight="true" outlineLevel="0" collapsed="false">
      <c r="A21" s="28" t="s">
        <v>126</v>
      </c>
      <c r="B21" s="23"/>
      <c r="C21" s="23"/>
      <c r="D21" s="23"/>
      <c r="E21" s="23"/>
      <c r="F21" s="23"/>
    </row>
    <row r="22" customFormat="false" ht="18" hidden="false" customHeight="true" outlineLevel="0" collapsed="false">
      <c r="A22" s="24" t="s">
        <v>127</v>
      </c>
      <c r="B22" s="25" t="n">
        <f aca="false">SUM(B17:B20)</f>
        <v>0</v>
      </c>
      <c r="C22" s="25" t="n">
        <f aca="false">SUM(C17:C20)</f>
        <v>0</v>
      </c>
      <c r="D22" s="25" t="n">
        <f aca="false">SUM(D17:D20)</f>
        <v>0</v>
      </c>
      <c r="E22" s="25" t="n">
        <f aca="false">SUM(E17:E20)</f>
        <v>0</v>
      </c>
      <c r="F22" s="25" t="n">
        <f aca="false">SUM(F17:F20)</f>
        <v>0</v>
      </c>
    </row>
    <row r="23" customFormat="false" ht="7.5" hidden="false" customHeight="true" outlineLevel="0" collapsed="false">
      <c r="A23" s="28"/>
    </row>
    <row r="24" customFormat="false" ht="18" hidden="false" customHeight="true" outlineLevel="0" collapsed="false">
      <c r="A24" s="24" t="s">
        <v>128</v>
      </c>
      <c r="B24" s="36" t="n">
        <f aca="false">B8+B14+B21</f>
        <v>0</v>
      </c>
      <c r="C24" s="36" t="n">
        <f aca="false">C8+C14+C21</f>
        <v>0</v>
      </c>
      <c r="D24" s="36" t="n">
        <f aca="false">D8+D14+D21</f>
        <v>0</v>
      </c>
      <c r="E24" s="36" t="n">
        <f aca="false">E8+E14+E21</f>
        <v>0</v>
      </c>
      <c r="F24" s="36" t="n">
        <f aca="false">F8+F14+F21</f>
        <v>0</v>
      </c>
    </row>
    <row r="25" customFormat="false" ht="18" hidden="false" customHeight="true" outlineLevel="0" collapsed="false">
      <c r="A25" s="24" t="s">
        <v>129</v>
      </c>
      <c r="B25" s="36" t="n">
        <f aca="false">B8+B10</f>
        <v>0</v>
      </c>
      <c r="C25" s="36" t="n">
        <f aca="false">C8+C10</f>
        <v>0</v>
      </c>
      <c r="D25" s="36" t="n">
        <f aca="false">D8+D10</f>
        <v>0</v>
      </c>
      <c r="E25" s="36" t="n">
        <f aca="false">E8+E10</f>
        <v>0</v>
      </c>
      <c r="F25" s="36" t="n">
        <f aca="false">F8+F10</f>
        <v>0</v>
      </c>
    </row>
    <row r="26" customFormat="false" ht="18" hidden="false" customHeight="true" outlineLevel="0" collapsed="false">
      <c r="A26" s="28" t="s">
        <v>130</v>
      </c>
      <c r="B26" s="39" t="str">
        <f aca="false">IFERROR(B23/'Income Statement'!B3,"-")</f>
        <v>-</v>
      </c>
      <c r="C26" s="39" t="str">
        <f aca="false">IFERROR(C23/'Income Statement'!C3,"-")</f>
        <v>-</v>
      </c>
      <c r="D26" s="39" t="str">
        <f aca="false">IFERROR(D23/'Income Statement'!D3,"-")</f>
        <v>-</v>
      </c>
      <c r="E26" s="39" t="str">
        <f aca="false">IFERROR(E23/'Income Statement'!E3,"-")</f>
        <v>-</v>
      </c>
      <c r="F26" s="39" t="str">
        <f aca="false">IFERROR(F23/'Income Statement'!F3,"-")</f>
        <v>-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8"/>
    <col collapsed="false" customWidth="true" hidden="false" outlineLevel="0" max="7" min="3" style="1" width="14"/>
    <col collapsed="false" customWidth="true" hidden="false" outlineLevel="0" max="8" min="8" style="1" width="38"/>
  </cols>
  <sheetData>
    <row r="1" customFormat="false" ht="30" hidden="false" customHeight="true" outlineLevel="0" collapsed="false">
      <c r="A1" s="40" t="s">
        <v>131</v>
      </c>
      <c r="B1" s="40"/>
      <c r="C1" s="40"/>
      <c r="D1" s="40"/>
      <c r="E1" s="40"/>
      <c r="F1" s="40"/>
      <c r="G1" s="40"/>
      <c r="H1" s="40"/>
    </row>
    <row r="2" customFormat="false" ht="21.75" hidden="false" customHeight="true" outlineLevel="0" collapsed="false">
      <c r="A2" s="19" t="s">
        <v>132</v>
      </c>
      <c r="B2" s="19" t="s">
        <v>133</v>
      </c>
      <c r="C2" s="19" t="s">
        <v>55</v>
      </c>
      <c r="D2" s="19" t="s">
        <v>56</v>
      </c>
      <c r="E2" s="19" t="s">
        <v>57</v>
      </c>
      <c r="F2" s="19" t="s">
        <v>58</v>
      </c>
      <c r="G2" s="19" t="s">
        <v>59</v>
      </c>
      <c r="H2" s="19" t="s">
        <v>134</v>
      </c>
    </row>
    <row r="3" customFormat="false" ht="19.5" hidden="false" customHeight="true" outlineLevel="0" collapsed="false">
      <c r="A3" s="16" t="s">
        <v>135</v>
      </c>
      <c r="B3" s="16"/>
      <c r="C3" s="16"/>
      <c r="D3" s="16"/>
      <c r="E3" s="16"/>
      <c r="F3" s="16"/>
      <c r="G3" s="16"/>
      <c r="H3" s="16"/>
    </row>
    <row r="4" customFormat="false" ht="19.5" hidden="false" customHeight="true" outlineLevel="0" collapsed="false">
      <c r="A4" s="7" t="s">
        <v>136</v>
      </c>
      <c r="B4" s="41" t="s">
        <v>137</v>
      </c>
      <c r="C4" s="39" t="str">
        <f aca="false">IFERROR('Income Statement'!B5/'Income Statement'!B3,"-")</f>
        <v>-</v>
      </c>
      <c r="D4" s="39" t="str">
        <f aca="false">IFERROR('Income Statement'!C5/'Income Statement'!C3,"-")</f>
        <v>-</v>
      </c>
      <c r="E4" s="39" t="str">
        <f aca="false">IFERROR('Income Statement'!D5/'Income Statement'!D3,"-")</f>
        <v>-</v>
      </c>
      <c r="F4" s="39" t="str">
        <f aca="false">IFERROR('Income Statement'!E5/'Income Statement'!E3,"-")</f>
        <v>-</v>
      </c>
      <c r="G4" s="42" t="str">
        <f aca="false">IFERROR('Income Statement'!F5/'Income Statement'!F3,"-")</f>
        <v>-</v>
      </c>
      <c r="H4" s="43" t="s">
        <v>138</v>
      </c>
    </row>
    <row r="5" customFormat="false" ht="19.5" hidden="false" customHeight="true" outlineLevel="0" collapsed="false">
      <c r="A5" s="7" t="s">
        <v>139</v>
      </c>
      <c r="B5" s="41" t="s">
        <v>140</v>
      </c>
      <c r="C5" s="39" t="str">
        <f aca="false">IFERROR('Income Statement'!B11/'Income Statement'!B3,"-")</f>
        <v>-</v>
      </c>
      <c r="D5" s="39" t="str">
        <f aca="false">IFERROR('Income Statement'!C11/'Income Statement'!C3,"-")</f>
        <v>-</v>
      </c>
      <c r="E5" s="39" t="str">
        <f aca="false">IFERROR('Income Statement'!D11/'Income Statement'!D3,"-")</f>
        <v>-</v>
      </c>
      <c r="F5" s="39" t="str">
        <f aca="false">IFERROR('Income Statement'!E11/'Income Statement'!E3,"-")</f>
        <v>-</v>
      </c>
      <c r="G5" s="42" t="str">
        <f aca="false">IFERROR('Income Statement'!F11/'Income Statement'!F3,"-")</f>
        <v>-</v>
      </c>
      <c r="H5" s="43" t="s">
        <v>141</v>
      </c>
    </row>
    <row r="6" customFormat="false" ht="19.5" hidden="false" customHeight="true" outlineLevel="0" collapsed="false">
      <c r="A6" s="7" t="s">
        <v>142</v>
      </c>
      <c r="B6" s="41" t="s">
        <v>143</v>
      </c>
      <c r="C6" s="39" t="str">
        <f aca="false">IFERROR('Income Statement'!B21/'Income Statement'!B3,"-")</f>
        <v>-</v>
      </c>
      <c r="D6" s="39" t="str">
        <f aca="false">IFERROR('Income Statement'!C21/'Income Statement'!C3,"-")</f>
        <v>-</v>
      </c>
      <c r="E6" s="39" t="str">
        <f aca="false">IFERROR('Income Statement'!D21/'Income Statement'!D3,"-")</f>
        <v>-</v>
      </c>
      <c r="F6" s="39" t="str">
        <f aca="false">IFERROR('Income Statement'!E21/'Income Statement'!E3,"-")</f>
        <v>-</v>
      </c>
      <c r="G6" s="42" t="str">
        <f aca="false">IFERROR('Income Statement'!F21/'Income Statement'!F3,"-")</f>
        <v>-</v>
      </c>
      <c r="H6" s="43" t="s">
        <v>144</v>
      </c>
    </row>
    <row r="7" customFormat="false" ht="19.5" hidden="false" customHeight="true" outlineLevel="0" collapsed="false">
      <c r="A7" s="7" t="s">
        <v>145</v>
      </c>
      <c r="B7" s="41" t="s">
        <v>146</v>
      </c>
      <c r="C7" s="39" t="str">
        <f aca="false">IFERROR('Income Statement'!B13/'Income Statement'!B3,"-")</f>
        <v>-</v>
      </c>
      <c r="D7" s="39" t="str">
        <f aca="false">IFERROR('Income Statement'!C13/'Income Statement'!C3,"-")</f>
        <v>-</v>
      </c>
      <c r="E7" s="39" t="str">
        <f aca="false">IFERROR('Income Statement'!D13/'Income Statement'!D3,"-")</f>
        <v>-</v>
      </c>
      <c r="F7" s="39" t="str">
        <f aca="false">IFERROR('Income Statement'!E13/'Income Statement'!E3,"-")</f>
        <v>-</v>
      </c>
      <c r="G7" s="42" t="str">
        <f aca="false">IFERROR('Income Statement'!F13/'Income Statement'!F3,"-")</f>
        <v>-</v>
      </c>
      <c r="H7" s="43" t="s">
        <v>147</v>
      </c>
    </row>
    <row r="8" customFormat="false" ht="19.5" hidden="false" customHeight="true" outlineLevel="0" collapsed="false">
      <c r="A8" s="16" t="s">
        <v>148</v>
      </c>
      <c r="B8" s="16"/>
      <c r="C8" s="16"/>
      <c r="D8" s="16"/>
      <c r="E8" s="16"/>
      <c r="F8" s="16"/>
      <c r="G8" s="16"/>
      <c r="H8" s="16"/>
    </row>
    <row r="9" customFormat="false" ht="19.5" hidden="false" customHeight="true" outlineLevel="0" collapsed="false">
      <c r="A9" s="7" t="s">
        <v>149</v>
      </c>
      <c r="B9" s="41" t="s">
        <v>150</v>
      </c>
      <c r="C9" s="39" t="str">
        <f aca="false">IFERROR('Income Statement'!B21/'Balance Sheet'!B27,"-")</f>
        <v>-</v>
      </c>
      <c r="D9" s="39" t="str">
        <f aca="false">IFERROR('Income Statement'!C21/'Balance Sheet'!C27,"-")</f>
        <v>-</v>
      </c>
      <c r="E9" s="39" t="str">
        <f aca="false">IFERROR('Income Statement'!D21/'Balance Sheet'!D27,"-")</f>
        <v>-</v>
      </c>
      <c r="F9" s="39" t="str">
        <f aca="false">IFERROR('Income Statement'!E21/'Balance Sheet'!E27,"-")</f>
        <v>-</v>
      </c>
      <c r="G9" s="42" t="str">
        <f aca="false">IFERROR('Income Statement'!F21/'Balance Sheet'!F27,"-")</f>
        <v>-</v>
      </c>
      <c r="H9" s="43" t="s">
        <v>151</v>
      </c>
    </row>
    <row r="10" customFormat="false" ht="19.5" hidden="false" customHeight="true" outlineLevel="0" collapsed="false">
      <c r="A10" s="7" t="s">
        <v>152</v>
      </c>
      <c r="B10" s="41" t="s">
        <v>153</v>
      </c>
      <c r="C10" s="39" t="str">
        <f aca="false">IFERROR('Income Statement'!B21/'Balance Sheet'!B15,"-")</f>
        <v>-</v>
      </c>
      <c r="D10" s="39" t="str">
        <f aca="false">IFERROR('Income Statement'!C21/'Balance Sheet'!C15,"-")</f>
        <v>-</v>
      </c>
      <c r="E10" s="39" t="str">
        <f aca="false">IFERROR('Income Statement'!D21/'Balance Sheet'!D15,"-")</f>
        <v>-</v>
      </c>
      <c r="F10" s="39" t="str">
        <f aca="false">IFERROR('Income Statement'!E21/'Balance Sheet'!E15,"-")</f>
        <v>-</v>
      </c>
      <c r="G10" s="42" t="str">
        <f aca="false">IFERROR('Income Statement'!F21/'Balance Sheet'!F15,"-")</f>
        <v>-</v>
      </c>
      <c r="H10" s="43" t="s">
        <v>154</v>
      </c>
    </row>
    <row r="11" customFormat="false" ht="19.5" hidden="false" customHeight="true" outlineLevel="0" collapsed="false">
      <c r="A11" s="7" t="s">
        <v>155</v>
      </c>
      <c r="B11" s="41" t="s">
        <v>156</v>
      </c>
      <c r="C11" s="44" t="str">
        <f aca="false">IFERROR('Income Statement'!B3/'Balance Sheet'!B15,"-")</f>
        <v>-</v>
      </c>
      <c r="D11" s="44" t="str">
        <f aca="false">IFERROR('Income Statement'!C3/'Balance Sheet'!C15,"-")</f>
        <v>-</v>
      </c>
      <c r="E11" s="44" t="str">
        <f aca="false">IFERROR('Income Statement'!D3/'Balance Sheet'!D15,"-")</f>
        <v>-</v>
      </c>
      <c r="F11" s="44" t="str">
        <f aca="false">IFERROR('Income Statement'!E3/'Balance Sheet'!E15,"-")</f>
        <v>-</v>
      </c>
      <c r="G11" s="45" t="str">
        <f aca="false">IFERROR('Income Statement'!F3/'Balance Sheet'!F15,"-")</f>
        <v>-</v>
      </c>
      <c r="H11" s="43" t="s">
        <v>157</v>
      </c>
    </row>
    <row r="12" customFormat="false" ht="19.5" hidden="false" customHeight="true" outlineLevel="0" collapsed="false">
      <c r="A12" s="16" t="s">
        <v>158</v>
      </c>
      <c r="B12" s="16"/>
      <c r="C12" s="16"/>
      <c r="D12" s="16"/>
      <c r="E12" s="16"/>
      <c r="F12" s="16"/>
      <c r="G12" s="16"/>
      <c r="H12" s="16"/>
    </row>
    <row r="13" customFormat="false" ht="19.5" hidden="false" customHeight="true" outlineLevel="0" collapsed="false">
      <c r="A13" s="7" t="s">
        <v>159</v>
      </c>
      <c r="B13" s="41" t="s">
        <v>160</v>
      </c>
      <c r="C13" s="46" t="str">
        <f aca="false">IFERROR('Balance Sheet'!B9/'Balance Sheet'!B20,"-")</f>
        <v>-</v>
      </c>
      <c r="D13" s="46" t="str">
        <f aca="false">IFERROR('Balance Sheet'!C9/'Balance Sheet'!C20,"-")</f>
        <v>-</v>
      </c>
      <c r="E13" s="46" t="str">
        <f aca="false">IFERROR('Balance Sheet'!D9/'Balance Sheet'!D20,"-")</f>
        <v>-</v>
      </c>
      <c r="F13" s="46" t="str">
        <f aca="false">IFERROR('Balance Sheet'!E9/'Balance Sheet'!E20,"-")</f>
        <v>-</v>
      </c>
      <c r="G13" s="47" t="str">
        <f aca="false">IFERROR('Balance Sheet'!F9/'Balance Sheet'!F20,"-")</f>
        <v>-</v>
      </c>
      <c r="H13" s="43" t="s">
        <v>161</v>
      </c>
    </row>
    <row r="14" customFormat="false" ht="19.5" hidden="false" customHeight="true" outlineLevel="0" collapsed="false">
      <c r="A14" s="7" t="s">
        <v>162</v>
      </c>
      <c r="B14" s="41" t="s">
        <v>163</v>
      </c>
      <c r="C14" s="46" t="str">
        <f aca="false">IFERROR(('Balance Sheet'!B9-'Balance Sheet'!B7)/'Balance Sheet'!B20,"-")</f>
        <v>-</v>
      </c>
      <c r="D14" s="46" t="str">
        <f aca="false">IFERROR(('Balance Sheet'!C9-'Balance Sheet'!C7)/'Balance Sheet'!C20,"-")</f>
        <v>-</v>
      </c>
      <c r="E14" s="46" t="str">
        <f aca="false">IFERROR(('Balance Sheet'!D9-'Balance Sheet'!D7)/'Balance Sheet'!D20,"-")</f>
        <v>-</v>
      </c>
      <c r="F14" s="46" t="str">
        <f aca="false">IFERROR(('Balance Sheet'!E9-'Balance Sheet'!E7)/'Balance Sheet'!E20,"-")</f>
        <v>-</v>
      </c>
      <c r="G14" s="47" t="str">
        <f aca="false">IFERROR(('Balance Sheet'!F9-'Balance Sheet'!F7)/'Balance Sheet'!F20,"-")</f>
        <v>-</v>
      </c>
      <c r="H14" s="43" t="s">
        <v>164</v>
      </c>
    </row>
    <row r="15" customFormat="false" ht="19.5" hidden="false" customHeight="true" outlineLevel="0" collapsed="false">
      <c r="A15" s="16" t="s">
        <v>165</v>
      </c>
      <c r="B15" s="16"/>
      <c r="C15" s="16"/>
      <c r="D15" s="16"/>
      <c r="E15" s="16"/>
      <c r="F15" s="16"/>
      <c r="G15" s="16"/>
      <c r="H15" s="16"/>
    </row>
    <row r="16" customFormat="false" ht="19.5" hidden="false" customHeight="true" outlineLevel="0" collapsed="false">
      <c r="A16" s="7" t="s">
        <v>166</v>
      </c>
      <c r="B16" s="41" t="s">
        <v>167</v>
      </c>
      <c r="C16" s="46" t="str">
        <f aca="false">IFERROR('Balance Sheet'!B23/'Balance Sheet'!B27,"-")</f>
        <v>-</v>
      </c>
      <c r="D16" s="46" t="str">
        <f aca="false">IFERROR('Balance Sheet'!C23/'Balance Sheet'!C27,"-")</f>
        <v>-</v>
      </c>
      <c r="E16" s="46" t="str">
        <f aca="false">IFERROR('Balance Sheet'!D23/'Balance Sheet'!D27,"-")</f>
        <v>-</v>
      </c>
      <c r="F16" s="46" t="str">
        <f aca="false">IFERROR('Balance Sheet'!E23/'Balance Sheet'!E27,"-")</f>
        <v>-</v>
      </c>
      <c r="G16" s="47" t="str">
        <f aca="false">IFERROR('Balance Sheet'!F23/'Balance Sheet'!F27,"-")</f>
        <v>-</v>
      </c>
      <c r="H16" s="43" t="s">
        <v>168</v>
      </c>
    </row>
    <row r="17" customFormat="false" ht="19.5" hidden="false" customHeight="true" outlineLevel="0" collapsed="false">
      <c r="A17" s="7" t="s">
        <v>169</v>
      </c>
      <c r="B17" s="41" t="s">
        <v>170</v>
      </c>
      <c r="C17" s="44" t="str">
        <f aca="false">IFERROR(('Balance Sheet'!B21+'Balance Sheet'!B18)/'Income Statement'!B13,"-")</f>
        <v>-</v>
      </c>
      <c r="D17" s="44" t="str">
        <f aca="false">IFERROR(('Balance Sheet'!C21+'Balance Sheet'!C18)/'Income Statement'!C13,"-")</f>
        <v>-</v>
      </c>
      <c r="E17" s="44" t="str">
        <f aca="false">IFERROR(('Balance Sheet'!D21+'Balance Sheet'!D18)/'Income Statement'!D13,"-")</f>
        <v>-</v>
      </c>
      <c r="F17" s="44" t="str">
        <f aca="false">IFERROR(('Balance Sheet'!E21+'Balance Sheet'!E18)/'Income Statement'!E13,"-")</f>
        <v>-</v>
      </c>
      <c r="G17" s="45" t="str">
        <f aca="false">IFERROR(('Balance Sheet'!F21+'Balance Sheet'!F18)/'Income Statement'!F13,"-")</f>
        <v>-</v>
      </c>
      <c r="H17" s="43" t="s">
        <v>171</v>
      </c>
    </row>
    <row r="18" customFormat="false" ht="19.5" hidden="false" customHeight="true" outlineLevel="0" collapsed="false">
      <c r="A18" s="7" t="s">
        <v>172</v>
      </c>
      <c r="B18" s="41" t="s">
        <v>173</v>
      </c>
      <c r="C18" s="44" t="str">
        <f aca="false">IFERROR('Income Statement'!B11/'Income Statement'!B15,"-")</f>
        <v>-</v>
      </c>
      <c r="D18" s="44" t="str">
        <f aca="false">IFERROR('Income Statement'!C11/'Income Statement'!C15,"-")</f>
        <v>-</v>
      </c>
      <c r="E18" s="44" t="str">
        <f aca="false">IFERROR('Income Statement'!D11/'Income Statement'!D15,"-")</f>
        <v>-</v>
      </c>
      <c r="F18" s="44" t="str">
        <f aca="false">IFERROR('Income Statement'!E11/'Income Statement'!E15,"-")</f>
        <v>-</v>
      </c>
      <c r="G18" s="45" t="str">
        <f aca="false">IFERROR('Income Statement'!F11/'Income Statement'!F15,"-")</f>
        <v>-</v>
      </c>
      <c r="H18" s="43" t="s">
        <v>174</v>
      </c>
    </row>
    <row r="19" customFormat="false" ht="19.5" hidden="false" customHeight="true" outlineLevel="0" collapsed="false">
      <c r="A19" s="16" t="s">
        <v>175</v>
      </c>
      <c r="B19" s="16"/>
      <c r="C19" s="16"/>
      <c r="D19" s="16"/>
      <c r="E19" s="16"/>
      <c r="F19" s="16"/>
      <c r="G19" s="16"/>
      <c r="H19" s="16"/>
    </row>
    <row r="20" customFormat="false" ht="19.5" hidden="false" customHeight="true" outlineLevel="0" collapsed="false">
      <c r="A20" s="7" t="s">
        <v>176</v>
      </c>
      <c r="B20" s="41" t="s">
        <v>177</v>
      </c>
      <c r="C20" s="39" t="str">
        <f aca="false">IFERROR('Cash Flow'!B23/'Income Statement'!B3,"-")</f>
        <v>-</v>
      </c>
      <c r="D20" s="39" t="str">
        <f aca="false">IFERROR('Cash Flow'!C23/'Income Statement'!C3,"-")</f>
        <v>-</v>
      </c>
      <c r="E20" s="39" t="str">
        <f aca="false">IFERROR('Cash Flow'!D23/'Income Statement'!D3,"-")</f>
        <v>-</v>
      </c>
      <c r="F20" s="39" t="str">
        <f aca="false">IFERROR('Cash Flow'!E23/'Income Statement'!E3,"-")</f>
        <v>-</v>
      </c>
      <c r="G20" s="42" t="str">
        <f aca="false">IFERROR('Cash Flow'!F23/'Income Statement'!F3,"-")</f>
        <v>-</v>
      </c>
      <c r="H20" s="43" t="s">
        <v>178</v>
      </c>
    </row>
    <row r="21" customFormat="false" ht="19.5" hidden="false" customHeight="true" outlineLevel="0" collapsed="false">
      <c r="A21" s="7" t="s">
        <v>179</v>
      </c>
      <c r="B21" s="41" t="s">
        <v>180</v>
      </c>
      <c r="C21" s="46" t="str">
        <f aca="false">IFERROR('Cash Flow'!B8/'Balance Sheet'!B20,"-")</f>
        <v>-</v>
      </c>
      <c r="D21" s="46" t="str">
        <f aca="false">IFERROR('Cash Flow'!C8/'Balance Sheet'!C20,"-")</f>
        <v>-</v>
      </c>
      <c r="E21" s="46" t="str">
        <f aca="false">IFERROR('Cash Flow'!D8/'Balance Sheet'!D20,"-")</f>
        <v>-</v>
      </c>
      <c r="F21" s="46" t="str">
        <f aca="false">IFERROR('Cash Flow'!E8/'Balance Sheet'!E20,"-")</f>
        <v>-</v>
      </c>
      <c r="G21" s="47" t="str">
        <f aca="false">IFERROR('Cash Flow'!F8/'Balance Sheet'!F20,"-")</f>
        <v>-</v>
      </c>
      <c r="H21" s="43" t="s">
        <v>181</v>
      </c>
    </row>
    <row r="22" customFormat="false" ht="19.5" hidden="false" customHeight="true" outlineLevel="0" collapsed="false">
      <c r="A22" s="7" t="s">
        <v>182</v>
      </c>
      <c r="B22" s="41" t="s">
        <v>183</v>
      </c>
      <c r="C22" s="39" t="str">
        <f aca="false">IFERROR(ABS('Cash Flow'!B10)/'Income Statement'!B3,"-")</f>
        <v>-</v>
      </c>
      <c r="D22" s="39" t="str">
        <f aca="false">IFERROR(ABS('Cash Flow'!C10)/'Income Statement'!C3,"-")</f>
        <v>-</v>
      </c>
      <c r="E22" s="39" t="str">
        <f aca="false">IFERROR(ABS('Cash Flow'!D10)/'Income Statement'!D3,"-")</f>
        <v>-</v>
      </c>
      <c r="F22" s="39" t="str">
        <f aca="false">IFERROR(ABS('Cash Flow'!E10)/'Income Statement'!E3,"-")</f>
        <v>-</v>
      </c>
      <c r="G22" s="42" t="str">
        <f aca="false">IFERROR(ABS('Cash Flow'!F10)/'Income Statement'!F3,"-")</f>
        <v>-</v>
      </c>
      <c r="H22" s="43" t="s">
        <v>184</v>
      </c>
    </row>
  </sheetData>
  <mergeCells count="6">
    <mergeCell ref="A1:H1"/>
    <mergeCell ref="A3:H3"/>
    <mergeCell ref="A8:H8"/>
    <mergeCell ref="A12:H12"/>
    <mergeCell ref="A15:H15"/>
    <mergeCell ref="A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6" min="2" style="1" width="20"/>
    <col collapsed="false" customWidth="true" hidden="false" outlineLevel="0" max="7" min="7" style="1" width="35"/>
  </cols>
  <sheetData>
    <row r="1" customFormat="false" ht="30" hidden="false" customHeight="true" outlineLevel="0" collapsed="false">
      <c r="A1" s="40" t="s">
        <v>185</v>
      </c>
      <c r="B1" s="40"/>
      <c r="C1" s="40"/>
      <c r="D1" s="40"/>
      <c r="E1" s="40"/>
      <c r="F1" s="40"/>
      <c r="G1" s="40"/>
    </row>
    <row r="2" customFormat="false" ht="36" hidden="false" customHeight="true" outlineLevel="0" collapsed="false">
      <c r="A2" s="19" t="s">
        <v>186</v>
      </c>
      <c r="B2" s="19" t="s">
        <v>187</v>
      </c>
      <c r="C2" s="19" t="s">
        <v>188</v>
      </c>
      <c r="D2" s="19" t="s">
        <v>189</v>
      </c>
      <c r="E2" s="19" t="s">
        <v>190</v>
      </c>
      <c r="F2" s="19" t="s">
        <v>191</v>
      </c>
    </row>
    <row r="3" customFormat="false" ht="21.75" hidden="false" customHeight="true" outlineLevel="0" collapsed="false">
      <c r="A3" s="48" t="s">
        <v>192</v>
      </c>
      <c r="B3" s="48"/>
      <c r="C3" s="48"/>
      <c r="D3" s="48"/>
      <c r="E3" s="48"/>
      <c r="F3" s="48"/>
      <c r="G3" s="48"/>
    </row>
    <row r="4" customFormat="false" ht="21.75" hidden="false" customHeight="true" outlineLevel="0" collapsed="false">
      <c r="A4" s="7" t="s">
        <v>193</v>
      </c>
      <c r="B4" s="49" t="s">
        <v>194</v>
      </c>
      <c r="C4" s="49" t="s">
        <v>195</v>
      </c>
      <c r="D4" s="49" t="s">
        <v>196</v>
      </c>
      <c r="E4" s="49" t="s">
        <v>197</v>
      </c>
      <c r="F4" s="49" t="s">
        <v>198</v>
      </c>
    </row>
    <row r="5" customFormat="false" ht="21.75" hidden="false" customHeight="true" outlineLevel="0" collapsed="false">
      <c r="A5" s="7" t="s">
        <v>199</v>
      </c>
      <c r="B5" s="49" t="s">
        <v>200</v>
      </c>
      <c r="C5" s="49" t="s">
        <v>201</v>
      </c>
      <c r="D5" s="49" t="s">
        <v>202</v>
      </c>
      <c r="E5" s="49" t="s">
        <v>203</v>
      </c>
      <c r="F5" s="49" t="s">
        <v>200</v>
      </c>
    </row>
    <row r="6" customFormat="false" ht="21.75" hidden="false" customHeight="true" outlineLevel="0" collapsed="false">
      <c r="A6" s="7" t="s">
        <v>204</v>
      </c>
      <c r="B6" s="49" t="s">
        <v>202</v>
      </c>
      <c r="C6" s="49" t="s">
        <v>200</v>
      </c>
      <c r="D6" s="49" t="s">
        <v>205</v>
      </c>
      <c r="E6" s="49" t="s">
        <v>206</v>
      </c>
      <c r="F6" s="49" t="s">
        <v>205</v>
      </c>
    </row>
    <row r="7" customFormat="false" ht="21.75" hidden="false" customHeight="true" outlineLevel="0" collapsed="false">
      <c r="A7" s="7" t="s">
        <v>207</v>
      </c>
      <c r="B7" s="49" t="s">
        <v>197</v>
      </c>
      <c r="C7" s="49" t="s">
        <v>208</v>
      </c>
      <c r="D7" s="49" t="s">
        <v>201</v>
      </c>
      <c r="E7" s="49" t="s">
        <v>209</v>
      </c>
      <c r="F7" s="49" t="s">
        <v>210</v>
      </c>
    </row>
    <row r="8" customFormat="false" ht="21.75" hidden="false" customHeight="true" outlineLevel="0" collapsed="false">
      <c r="A8" s="48" t="s">
        <v>211</v>
      </c>
      <c r="B8" s="48"/>
      <c r="C8" s="48"/>
      <c r="D8" s="48"/>
      <c r="E8" s="48"/>
      <c r="F8" s="48"/>
      <c r="G8" s="48"/>
    </row>
    <row r="9" customFormat="false" ht="21.75" hidden="false" customHeight="true" outlineLevel="0" collapsed="false">
      <c r="A9" s="7" t="s">
        <v>212</v>
      </c>
      <c r="B9" s="49" t="s">
        <v>213</v>
      </c>
      <c r="C9" s="49" t="s">
        <v>214</v>
      </c>
      <c r="D9" s="49" t="s">
        <v>215</v>
      </c>
      <c r="E9" s="49" t="s">
        <v>216</v>
      </c>
      <c r="F9" s="49" t="s">
        <v>217</v>
      </c>
    </row>
    <row r="10" customFormat="false" ht="21.75" hidden="false" customHeight="true" outlineLevel="0" collapsed="false">
      <c r="A10" s="7" t="s">
        <v>218</v>
      </c>
      <c r="B10" s="49" t="s">
        <v>219</v>
      </c>
      <c r="C10" s="49" t="s">
        <v>209</v>
      </c>
      <c r="D10" s="49" t="s">
        <v>220</v>
      </c>
      <c r="E10" s="49" t="s">
        <v>221</v>
      </c>
      <c r="F10" s="49" t="s">
        <v>222</v>
      </c>
    </row>
    <row r="11" customFormat="false" ht="21.75" hidden="false" customHeight="true" outlineLevel="0" collapsed="false">
      <c r="A11" s="7" t="s">
        <v>223</v>
      </c>
      <c r="B11" s="49" t="s">
        <v>224</v>
      </c>
      <c r="C11" s="49" t="s">
        <v>225</v>
      </c>
      <c r="D11" s="49" t="s">
        <v>226</v>
      </c>
      <c r="E11" s="49" t="s">
        <v>227</v>
      </c>
      <c r="F11" s="49" t="s">
        <v>228</v>
      </c>
    </row>
    <row r="12" customFormat="false" ht="21.75" hidden="false" customHeight="true" outlineLevel="0" collapsed="false">
      <c r="A12" s="48" t="s">
        <v>229</v>
      </c>
      <c r="B12" s="48"/>
      <c r="C12" s="48"/>
      <c r="D12" s="48"/>
      <c r="E12" s="48"/>
      <c r="F12" s="48"/>
      <c r="G12" s="48"/>
    </row>
    <row r="13" customFormat="false" ht="21.75" hidden="false" customHeight="true" outlineLevel="0" collapsed="false">
      <c r="A13" s="7" t="s">
        <v>230</v>
      </c>
      <c r="B13" s="49" t="s">
        <v>231</v>
      </c>
      <c r="C13" s="49" t="s">
        <v>232</v>
      </c>
      <c r="D13" s="49" t="s">
        <v>227</v>
      </c>
      <c r="E13" s="49" t="s">
        <v>233</v>
      </c>
      <c r="F13" s="49" t="s">
        <v>234</v>
      </c>
    </row>
    <row r="14" customFormat="false" ht="21.75" hidden="false" customHeight="true" outlineLevel="0" collapsed="false">
      <c r="A14" s="7" t="s">
        <v>235</v>
      </c>
      <c r="B14" s="49" t="s">
        <v>231</v>
      </c>
      <c r="C14" s="49" t="s">
        <v>232</v>
      </c>
      <c r="D14" s="49" t="s">
        <v>236</v>
      </c>
      <c r="E14" s="49" t="s">
        <v>228</v>
      </c>
      <c r="F14" s="49" t="s">
        <v>234</v>
      </c>
    </row>
    <row r="15" customFormat="false" ht="21.75" hidden="false" customHeight="true" outlineLevel="0" collapsed="false">
      <c r="A15" s="48" t="s">
        <v>237</v>
      </c>
      <c r="B15" s="48"/>
      <c r="C15" s="48"/>
      <c r="D15" s="48"/>
      <c r="E15" s="48"/>
      <c r="F15" s="48"/>
      <c r="G15" s="48"/>
    </row>
    <row r="16" customFormat="false" ht="21.75" hidden="false" customHeight="true" outlineLevel="0" collapsed="false">
      <c r="A16" s="7" t="s">
        <v>238</v>
      </c>
      <c r="B16" s="49" t="s">
        <v>239</v>
      </c>
      <c r="C16" s="49" t="s">
        <v>240</v>
      </c>
      <c r="D16" s="49" t="s">
        <v>241</v>
      </c>
      <c r="E16" s="49" t="s">
        <v>242</v>
      </c>
      <c r="F16" s="49" t="s">
        <v>243</v>
      </c>
    </row>
    <row r="17" customFormat="false" ht="21.75" hidden="false" customHeight="true" outlineLevel="0" collapsed="false">
      <c r="A17" s="7" t="s">
        <v>244</v>
      </c>
      <c r="B17" s="49" t="s">
        <v>245</v>
      </c>
      <c r="C17" s="49" t="s">
        <v>246</v>
      </c>
      <c r="D17" s="49" t="s">
        <v>247</v>
      </c>
      <c r="E17" s="49" t="s">
        <v>234</v>
      </c>
      <c r="F17" s="49" t="s">
        <v>248</v>
      </c>
    </row>
    <row r="18" customFormat="false" ht="21.75" hidden="false" customHeight="true" outlineLevel="0" collapsed="false">
      <c r="A18" s="7" t="s">
        <v>249</v>
      </c>
      <c r="B18" s="49" t="s">
        <v>250</v>
      </c>
      <c r="C18" s="49" t="s">
        <v>251</v>
      </c>
      <c r="D18" s="49" t="s">
        <v>252</v>
      </c>
      <c r="E18" s="49" t="s">
        <v>250</v>
      </c>
      <c r="F18" s="49" t="s">
        <v>251</v>
      </c>
    </row>
    <row r="19" customFormat="false" ht="21.75" hidden="false" customHeight="true" outlineLevel="0" collapsed="false">
      <c r="A19" s="48" t="s">
        <v>253</v>
      </c>
      <c r="B19" s="48"/>
      <c r="C19" s="48"/>
      <c r="D19" s="48"/>
      <c r="E19" s="48"/>
      <c r="F19" s="48"/>
      <c r="G19" s="48"/>
    </row>
    <row r="20" customFormat="false" ht="21.75" hidden="false" customHeight="true" outlineLevel="0" collapsed="false">
      <c r="A20" s="7" t="s">
        <v>254</v>
      </c>
      <c r="B20" s="49" t="s">
        <v>205</v>
      </c>
      <c r="C20" s="49" t="s">
        <v>200</v>
      </c>
      <c r="D20" s="49" t="s">
        <v>205</v>
      </c>
      <c r="E20" s="49" t="s">
        <v>206</v>
      </c>
      <c r="F20" s="49" t="s">
        <v>200</v>
      </c>
    </row>
    <row r="21" customFormat="false" ht="21.75" hidden="false" customHeight="true" outlineLevel="0" collapsed="false">
      <c r="A21" s="7" t="s">
        <v>255</v>
      </c>
      <c r="B21" s="49" t="s">
        <v>256</v>
      </c>
      <c r="C21" s="49" t="s">
        <v>257</v>
      </c>
      <c r="D21" s="49" t="s">
        <v>247</v>
      </c>
      <c r="E21" s="49" t="s">
        <v>258</v>
      </c>
      <c r="F21" s="49" t="s">
        <v>257</v>
      </c>
    </row>
    <row r="22" customFormat="false" ht="21.75" hidden="false" customHeight="true" outlineLevel="0" collapsed="false">
      <c r="A22" s="7" t="s">
        <v>259</v>
      </c>
      <c r="B22" s="49" t="s">
        <v>260</v>
      </c>
      <c r="C22" s="49" t="s">
        <v>209</v>
      </c>
      <c r="D22" s="49" t="s">
        <v>220</v>
      </c>
      <c r="E22" s="49" t="s">
        <v>261</v>
      </c>
      <c r="F22" s="49" t="s">
        <v>203</v>
      </c>
    </row>
  </sheetData>
  <mergeCells count="6">
    <mergeCell ref="A1:G1"/>
    <mergeCell ref="A3:G3"/>
    <mergeCell ref="A8:G8"/>
    <mergeCell ref="A12:G12"/>
    <mergeCell ref="A15:G15"/>
    <mergeCell ref="A19:G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7" min="2" style="1" width="16"/>
  </cols>
  <sheetData>
    <row r="1" customFormat="false" ht="30" hidden="false" customHeight="true" outlineLevel="0" collapsed="false">
      <c r="A1" s="40" t="s">
        <v>262</v>
      </c>
      <c r="B1" s="40"/>
      <c r="C1" s="40"/>
      <c r="D1" s="40"/>
      <c r="E1" s="40"/>
      <c r="F1" s="40"/>
      <c r="G1" s="40"/>
    </row>
    <row r="2" customFormat="false" ht="19.5" hidden="false" customHeight="true" outlineLevel="0" collapsed="false">
      <c r="A2" s="2"/>
      <c r="B2" s="19" t="s">
        <v>263</v>
      </c>
      <c r="C2" s="19" t="s">
        <v>264</v>
      </c>
      <c r="D2" s="19" t="s">
        <v>265</v>
      </c>
      <c r="E2" s="19" t="s">
        <v>266</v>
      </c>
      <c r="F2" s="19" t="s">
        <v>267</v>
      </c>
    </row>
    <row r="4" customFormat="false" ht="19.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</row>
    <row r="5" customFormat="false" ht="18" hidden="false" customHeight="true" outlineLevel="0" collapsed="false">
      <c r="A5" s="7" t="s">
        <v>269</v>
      </c>
      <c r="B5" s="23"/>
    </row>
    <row r="6" customFormat="false" ht="18" hidden="false" customHeight="true" outlineLevel="0" collapsed="false">
      <c r="A6" s="7" t="s">
        <v>270</v>
      </c>
      <c r="B6" s="51"/>
    </row>
    <row r="7" customFormat="false" ht="18" hidden="false" customHeight="true" outlineLevel="0" collapsed="false">
      <c r="A7" s="7" t="s">
        <v>271</v>
      </c>
      <c r="B7" s="51"/>
    </row>
    <row r="8" customFormat="false" ht="18" hidden="false" customHeight="true" outlineLevel="0" collapsed="false">
      <c r="A8" s="7" t="s">
        <v>272</v>
      </c>
      <c r="B8" s="51"/>
    </row>
    <row r="9" customFormat="false" ht="18" hidden="false" customHeight="true" outlineLevel="0" collapsed="false">
      <c r="A9" s="7" t="s">
        <v>273</v>
      </c>
      <c r="B9" s="51"/>
    </row>
    <row r="10" customFormat="false" ht="18" hidden="false" customHeight="true" outlineLevel="0" collapsed="false">
      <c r="A10" s="7" t="s">
        <v>274</v>
      </c>
      <c r="B10" s="51"/>
    </row>
    <row r="11" customFormat="false" ht="18" hidden="false" customHeight="true" outlineLevel="0" collapsed="false">
      <c r="A11" s="7" t="s">
        <v>275</v>
      </c>
      <c r="B11" s="51"/>
    </row>
    <row r="12" customFormat="false" ht="18" hidden="false" customHeight="true" outlineLevel="0" collapsed="false">
      <c r="A12" s="7" t="s">
        <v>276</v>
      </c>
      <c r="B12" s="51"/>
    </row>
    <row r="13" customFormat="false" ht="18" hidden="false" customHeight="true" outlineLevel="0" collapsed="false">
      <c r="A13" s="7" t="s">
        <v>277</v>
      </c>
      <c r="B13" s="51"/>
    </row>
    <row r="14" customFormat="false" ht="18" hidden="false" customHeight="true" outlineLevel="0" collapsed="false">
      <c r="A14" s="7" t="s">
        <v>278</v>
      </c>
      <c r="B14" s="23"/>
    </row>
    <row r="15" customFormat="false" ht="18" hidden="false" customHeight="true" outlineLevel="0" collapsed="false">
      <c r="A15" s="7" t="s">
        <v>79</v>
      </c>
      <c r="B15" s="33"/>
    </row>
    <row r="17" customFormat="false" ht="19.5" hidden="false" customHeight="true" outlineLevel="0" collapsed="false">
      <c r="A17" s="50" t="s">
        <v>279</v>
      </c>
      <c r="B17" s="50"/>
      <c r="C17" s="50"/>
      <c r="D17" s="50"/>
      <c r="E17" s="50"/>
      <c r="F17" s="50"/>
      <c r="G17" s="50"/>
    </row>
    <row r="18" customFormat="false" ht="18" hidden="false" customHeight="true" outlineLevel="0" collapsed="false">
      <c r="A18" s="52" t="s">
        <v>280</v>
      </c>
      <c r="B18" s="53" t="n">
        <f aca="false">B5*(1+B6)</f>
        <v>0</v>
      </c>
      <c r="C18" s="53" t="n">
        <f aca="false">B18*(1+B8)</f>
        <v>0</v>
      </c>
      <c r="D18" s="53" t="n">
        <f aca="false">C18*(1+B9)</f>
        <v>0</v>
      </c>
      <c r="E18" s="53" t="n">
        <f aca="false">D18*(1+B10)</f>
        <v>0</v>
      </c>
      <c r="F18" s="53" t="n">
        <f aca="false">E18*(1+B11)</f>
        <v>0</v>
      </c>
    </row>
    <row r="19" customFormat="false" ht="18" hidden="false" customHeight="true" outlineLevel="0" collapsed="false">
      <c r="A19" s="52" t="s">
        <v>281</v>
      </c>
      <c r="B19" s="53" t="n">
        <f aca="false">B18*$B$11</f>
        <v>0</v>
      </c>
      <c r="C19" s="53" t="n">
        <f aca="false">C18*$B$11</f>
        <v>0</v>
      </c>
      <c r="D19" s="53" t="n">
        <f aca="false">D18*$B$11</f>
        <v>0</v>
      </c>
      <c r="E19" s="53" t="n">
        <f aca="false">E18*$B$11</f>
        <v>0</v>
      </c>
      <c r="F19" s="53" t="n">
        <f aca="false">F18*$B$11</f>
        <v>0</v>
      </c>
    </row>
    <row r="20" customFormat="false" ht="18" hidden="false" customHeight="true" outlineLevel="0" collapsed="false">
      <c r="A20" s="52" t="s">
        <v>282</v>
      </c>
      <c r="B20" s="54" t="n">
        <f aca="false">1/(1+$B$12)^1</f>
        <v>1</v>
      </c>
      <c r="C20" s="54" t="n">
        <f aca="false">1/(1+$B$12)^2</f>
        <v>1</v>
      </c>
      <c r="D20" s="54" t="n">
        <f aca="false">1/(1+$B$12)^3</f>
        <v>1</v>
      </c>
      <c r="E20" s="54" t="n">
        <f aca="false">1/(1+$B$12)^4</f>
        <v>1</v>
      </c>
      <c r="F20" s="54" t="n">
        <f aca="false">1/(1+$B$12)^5</f>
        <v>1</v>
      </c>
    </row>
    <row r="21" customFormat="false" ht="18" hidden="false" customHeight="true" outlineLevel="0" collapsed="false">
      <c r="A21" s="7" t="s">
        <v>283</v>
      </c>
      <c r="B21" s="55" t="n">
        <f aca="false">B19*B20</f>
        <v>0</v>
      </c>
      <c r="C21" s="55" t="n">
        <f aca="false">C19*C20</f>
        <v>0</v>
      </c>
      <c r="D21" s="55" t="n">
        <f aca="false">D19*D20</f>
        <v>0</v>
      </c>
      <c r="E21" s="55" t="n">
        <f aca="false">E19*E20</f>
        <v>0</v>
      </c>
      <c r="F21" s="55" t="n">
        <f aca="false">F19*F20</f>
        <v>0</v>
      </c>
    </row>
    <row r="23" customFormat="false" ht="19.5" hidden="false" customHeight="true" outlineLevel="0" collapsed="false">
      <c r="A23" s="50" t="s">
        <v>284</v>
      </c>
      <c r="B23" s="50"/>
      <c r="C23" s="50"/>
      <c r="D23" s="50"/>
      <c r="E23" s="50"/>
      <c r="F23" s="50"/>
      <c r="G23" s="50"/>
    </row>
    <row r="24" customFormat="false" ht="19.5" hidden="false" customHeight="true" outlineLevel="0" collapsed="false">
      <c r="A24" s="52" t="s">
        <v>285</v>
      </c>
      <c r="B24" s="56" t="n">
        <f aca="false">SUM(B21:F21)</f>
        <v>0</v>
      </c>
    </row>
    <row r="25" customFormat="false" ht="19.5" hidden="false" customHeight="true" outlineLevel="0" collapsed="false">
      <c r="A25" s="52" t="s">
        <v>286</v>
      </c>
      <c r="B25" s="57" t="str">
        <f aca="false">IFERROR(F19*((1+$B$13)/($B$12-$B$13)),"-")</f>
        <v>-</v>
      </c>
    </row>
    <row r="26" customFormat="false" ht="19.5" hidden="false" customHeight="true" outlineLevel="0" collapsed="false">
      <c r="A26" s="52" t="s">
        <v>287</v>
      </c>
      <c r="B26" s="57" t="str">
        <f aca="false">IFERROR(B25/(1+$B$12)^5,"-")</f>
        <v>-</v>
      </c>
    </row>
    <row r="27" customFormat="false" ht="19.5" hidden="false" customHeight="true" outlineLevel="0" collapsed="false">
      <c r="A27" s="58" t="s">
        <v>288</v>
      </c>
      <c r="B27" s="59" t="str">
        <f aca="false">IFERROR(B24+B26,"-")</f>
        <v>-</v>
      </c>
    </row>
    <row r="28" customFormat="false" ht="19.5" hidden="false" customHeight="true" outlineLevel="0" collapsed="false">
      <c r="A28" s="52" t="s">
        <v>278</v>
      </c>
      <c r="B28" s="56" t="n">
        <f aca="false">$B$14</f>
        <v>0</v>
      </c>
    </row>
    <row r="29" customFormat="false" ht="19.5" hidden="false" customHeight="true" outlineLevel="0" collapsed="false">
      <c r="A29" s="52" t="s">
        <v>289</v>
      </c>
      <c r="B29" s="57" t="str">
        <f aca="false">IFERROR(B27-B28,"-")</f>
        <v>-</v>
      </c>
    </row>
    <row r="30" customFormat="false" ht="19.5" hidden="false" customHeight="true" outlineLevel="0" collapsed="false">
      <c r="A30" s="52" t="s">
        <v>79</v>
      </c>
      <c r="B30" s="60" t="n">
        <f aca="false">$B$15</f>
        <v>0</v>
      </c>
    </row>
    <row r="31" customFormat="false" ht="19.5" hidden="false" customHeight="true" outlineLevel="0" collapsed="false">
      <c r="A31" s="58" t="s">
        <v>290</v>
      </c>
      <c r="B31" s="61" t="str">
        <f aca="false">IFERROR(B29/B30,"-")</f>
        <v>-</v>
      </c>
    </row>
  </sheetData>
  <mergeCells count="4">
    <mergeCell ref="A1:G1"/>
    <mergeCell ref="A4:G4"/>
    <mergeCell ref="A17:G17"/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12"/>
    <col collapsed="false" customWidth="true" hidden="false" outlineLevel="0" max="10" min="3" style="1" width="14"/>
  </cols>
  <sheetData>
    <row r="1" customFormat="false" ht="30" hidden="false" customHeight="true" outlineLevel="0" collapsed="false">
      <c r="A1" s="40" t="s">
        <v>291</v>
      </c>
      <c r="B1" s="40"/>
      <c r="C1" s="40"/>
      <c r="D1" s="40"/>
      <c r="E1" s="40"/>
      <c r="F1" s="40"/>
      <c r="G1" s="40"/>
      <c r="H1" s="40"/>
      <c r="I1" s="40"/>
      <c r="J1" s="40"/>
    </row>
    <row r="2" customFormat="false" ht="21.75" hidden="false" customHeight="true" outlineLevel="0" collapsed="false">
      <c r="A2" s="19" t="s">
        <v>292</v>
      </c>
      <c r="B2" s="19" t="s">
        <v>293</v>
      </c>
      <c r="C2" s="19" t="s">
        <v>294</v>
      </c>
      <c r="D2" s="19" t="s">
        <v>295</v>
      </c>
      <c r="E2" s="19" t="s">
        <v>296</v>
      </c>
      <c r="F2" s="19" t="s">
        <v>297</v>
      </c>
      <c r="G2" s="19" t="s">
        <v>298</v>
      </c>
      <c r="H2" s="19" t="s">
        <v>299</v>
      </c>
      <c r="I2" s="19" t="s">
        <v>300</v>
      </c>
      <c r="J2" s="19" t="s">
        <v>301</v>
      </c>
    </row>
    <row r="3" customFormat="false" ht="19.5" hidden="false" customHeight="true" outlineLevel="0" collapsed="false">
      <c r="A3" s="58" t="s">
        <v>302</v>
      </c>
      <c r="B3" s="62"/>
      <c r="C3" s="23"/>
      <c r="D3" s="23"/>
      <c r="E3" s="23"/>
      <c r="F3" s="23"/>
      <c r="G3" s="33"/>
      <c r="H3" s="63" t="str">
        <f aca="false">IFERROR(C3/D3,"-")</f>
        <v>-</v>
      </c>
      <c r="I3" s="63" t="str">
        <f aca="false">IFERROR(C3/E3,"-")</f>
        <v>-</v>
      </c>
      <c r="J3" s="63" t="str">
        <f aca="false">IFERROR((C3-G3*0)/F3,"-")</f>
        <v>-</v>
      </c>
    </row>
    <row r="4" customFormat="false" ht="19.5" hidden="false" customHeight="true" outlineLevel="0" collapsed="false">
      <c r="A4" s="64" t="s">
        <v>303</v>
      </c>
      <c r="B4" s="62"/>
      <c r="C4" s="23"/>
      <c r="D4" s="23"/>
      <c r="E4" s="23"/>
      <c r="F4" s="23"/>
      <c r="G4" s="33"/>
      <c r="H4" s="44" t="str">
        <f aca="false">IFERROR(C4/D4,"-")</f>
        <v>-</v>
      </c>
      <c r="I4" s="44" t="str">
        <f aca="false">IFERROR(C4/E4,"-")</f>
        <v>-</v>
      </c>
      <c r="J4" s="44" t="str">
        <f aca="false">IFERROR((C4-G4*0)/F4,"-")</f>
        <v>-</v>
      </c>
    </row>
    <row r="5" customFormat="false" ht="19.5" hidden="false" customHeight="true" outlineLevel="0" collapsed="false">
      <c r="A5" s="64" t="s">
        <v>304</v>
      </c>
      <c r="B5" s="62"/>
      <c r="C5" s="23"/>
      <c r="D5" s="23"/>
      <c r="E5" s="23"/>
      <c r="F5" s="23"/>
      <c r="G5" s="33"/>
      <c r="H5" s="44" t="str">
        <f aca="false">IFERROR(C5/D5,"-")</f>
        <v>-</v>
      </c>
      <c r="I5" s="44" t="str">
        <f aca="false">IFERROR(C5/E5,"-")</f>
        <v>-</v>
      </c>
      <c r="J5" s="44" t="str">
        <f aca="false">IFERROR((C5-G5*0)/F5,"-")</f>
        <v>-</v>
      </c>
    </row>
    <row r="6" customFormat="false" ht="19.5" hidden="false" customHeight="true" outlineLevel="0" collapsed="false">
      <c r="A6" s="64" t="s">
        <v>305</v>
      </c>
      <c r="B6" s="62"/>
      <c r="C6" s="23"/>
      <c r="D6" s="23"/>
      <c r="E6" s="23"/>
      <c r="F6" s="23"/>
      <c r="G6" s="33"/>
      <c r="H6" s="44" t="str">
        <f aca="false">IFERROR(C6/D6,"-")</f>
        <v>-</v>
      </c>
      <c r="I6" s="44" t="str">
        <f aca="false">IFERROR(C6/E6,"-")</f>
        <v>-</v>
      </c>
      <c r="J6" s="44" t="str">
        <f aca="false">IFERROR((C6-G6*0)/F6,"-")</f>
        <v>-</v>
      </c>
    </row>
    <row r="7" customFormat="false" ht="19.5" hidden="false" customHeight="true" outlineLevel="0" collapsed="false">
      <c r="A7" s="64" t="s">
        <v>306</v>
      </c>
      <c r="B7" s="62"/>
      <c r="C7" s="23"/>
      <c r="D7" s="23"/>
      <c r="E7" s="23"/>
      <c r="F7" s="23"/>
      <c r="G7" s="33"/>
      <c r="H7" s="44" t="str">
        <f aca="false">IFERROR(C7/D7,"-")</f>
        <v>-</v>
      </c>
      <c r="I7" s="44" t="str">
        <f aca="false">IFERROR(C7/E7,"-")</f>
        <v>-</v>
      </c>
      <c r="J7" s="44" t="str">
        <f aca="false">IFERROR((C7-G7*0)/F7,"-")</f>
        <v>-</v>
      </c>
    </row>
    <row r="8" customFormat="false" ht="19.5" hidden="false" customHeight="true" outlineLevel="0" collapsed="false">
      <c r="A8" s="64" t="s">
        <v>307</v>
      </c>
      <c r="B8" s="62"/>
      <c r="C8" s="23"/>
      <c r="D8" s="23"/>
      <c r="E8" s="23"/>
      <c r="F8" s="23"/>
      <c r="G8" s="33"/>
      <c r="H8" s="44" t="str">
        <f aca="false">IFERROR(C8/D8,"-")</f>
        <v>-</v>
      </c>
      <c r="I8" s="44" t="str">
        <f aca="false">IFERROR(C8/E8,"-")</f>
        <v>-</v>
      </c>
      <c r="J8" s="44" t="str">
        <f aca="false">IFERROR((C8-G8*0)/F8,"-")</f>
        <v>-</v>
      </c>
    </row>
    <row r="9" customFormat="false" ht="19.5" hidden="false" customHeight="true" outlineLevel="0" collapsed="false">
      <c r="A9" s="65" t="s">
        <v>308</v>
      </c>
      <c r="C9" s="66" t="str">
        <f aca="false">IFERROR(MEDIAN(C4:C8),"-")</f>
        <v>-</v>
      </c>
      <c r="D9" s="66" t="str">
        <f aca="false">IFERROR(MEDIAN(D4:D8),"-")</f>
        <v>-</v>
      </c>
      <c r="E9" s="66" t="str">
        <f aca="false">IFERROR(MEDIAN(E4:E8),"-")</f>
        <v>-</v>
      </c>
      <c r="F9" s="66" t="str">
        <f aca="false">IFERROR(MEDIAN(F4:F8),"-")</f>
        <v>-</v>
      </c>
      <c r="G9" s="66" t="str">
        <f aca="false">IFERROR(MEDIAN(G4:G8),"-")</f>
        <v>-</v>
      </c>
      <c r="H9" s="67" t="str">
        <f aca="false">IFERROR(MEDIAN(H4:H8),"-")</f>
        <v>-</v>
      </c>
      <c r="I9" s="67" t="str">
        <f aca="false">IFERROR(MEDIAN(I4:I8),"-")</f>
        <v>-</v>
      </c>
      <c r="J9" s="67" t="str">
        <f aca="false">IFERROR(MEDIAN(J4:J8),"-")</f>
        <v>-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5"/>
    <col collapsed="false" customWidth="true" hidden="false" outlineLevel="0" max="3" min="3" style="1" width="75"/>
    <col collapsed="false" customWidth="true" hidden="false" outlineLevel="0" max="4" min="4" style="1" width="3"/>
  </cols>
  <sheetData>
    <row r="1" customFormat="false" ht="30" hidden="false" customHeight="true" outlineLevel="0" collapsed="false">
      <c r="B1" s="18" t="s">
        <v>309</v>
      </c>
      <c r="C1" s="18"/>
    </row>
    <row r="3" customFormat="false" ht="21.75" hidden="false" customHeight="true" outlineLevel="0" collapsed="false">
      <c r="B3" s="16" t="s">
        <v>310</v>
      </c>
      <c r="C3" s="16"/>
    </row>
    <row r="4" customFormat="false" ht="69.75" hidden="false" customHeight="true" outlineLevel="0" collapsed="false">
      <c r="B4" s="68" t="s">
        <v>311</v>
      </c>
      <c r="C4" s="68"/>
    </row>
    <row r="6" customFormat="false" ht="21.75" hidden="false" customHeight="true" outlineLevel="0" collapsed="false">
      <c r="B6" s="16" t="s">
        <v>312</v>
      </c>
      <c r="C6" s="16"/>
    </row>
    <row r="7" customFormat="false" ht="69.75" hidden="false" customHeight="true" outlineLevel="0" collapsed="false">
      <c r="B7" s="68" t="s">
        <v>313</v>
      </c>
      <c r="C7" s="68"/>
    </row>
    <row r="9" customFormat="false" ht="21.75" hidden="false" customHeight="true" outlineLevel="0" collapsed="false">
      <c r="B9" s="16" t="s">
        <v>314</v>
      </c>
      <c r="C9" s="16"/>
    </row>
    <row r="10" customFormat="false" ht="69.75" hidden="false" customHeight="true" outlineLevel="0" collapsed="false">
      <c r="B10" s="68" t="s">
        <v>315</v>
      </c>
      <c r="C10" s="68"/>
    </row>
    <row r="12" customFormat="false" ht="21.75" hidden="false" customHeight="true" outlineLevel="0" collapsed="false">
      <c r="B12" s="16" t="s">
        <v>316</v>
      </c>
      <c r="C12" s="16"/>
    </row>
    <row r="13" customFormat="false" ht="69.75" hidden="false" customHeight="true" outlineLevel="0" collapsed="false">
      <c r="B13" s="68" t="s">
        <v>317</v>
      </c>
      <c r="C13" s="68"/>
    </row>
    <row r="15" customFormat="false" ht="21.75" hidden="false" customHeight="true" outlineLevel="0" collapsed="false">
      <c r="B15" s="16" t="s">
        <v>318</v>
      </c>
      <c r="C15" s="16"/>
    </row>
    <row r="16" customFormat="false" ht="69.75" hidden="false" customHeight="true" outlineLevel="0" collapsed="false">
      <c r="B16" s="68" t="s">
        <v>319</v>
      </c>
      <c r="C16" s="68"/>
    </row>
    <row r="18" customFormat="false" ht="21.75" hidden="false" customHeight="true" outlineLevel="0" collapsed="false">
      <c r="B18" s="16" t="s">
        <v>320</v>
      </c>
      <c r="C18" s="16"/>
    </row>
    <row r="19" customFormat="false" ht="69.75" hidden="false" customHeight="true" outlineLevel="0" collapsed="false">
      <c r="B19" s="68" t="s">
        <v>321</v>
      </c>
      <c r="C19" s="68"/>
    </row>
    <row r="21" customFormat="false" ht="21.75" hidden="false" customHeight="true" outlineLevel="0" collapsed="false">
      <c r="B21" s="16" t="s">
        <v>322</v>
      </c>
      <c r="C21" s="16"/>
    </row>
    <row r="22" customFormat="false" ht="69.75" hidden="false" customHeight="true" outlineLevel="0" collapsed="false">
      <c r="B22" s="68" t="s">
        <v>323</v>
      </c>
      <c r="C22" s="68"/>
    </row>
    <row r="24" customFormat="false" ht="21.75" hidden="false" customHeight="true" outlineLevel="0" collapsed="false">
      <c r="B24" s="16" t="s">
        <v>324</v>
      </c>
      <c r="C24" s="16"/>
    </row>
    <row r="25" customFormat="false" ht="69.75" hidden="false" customHeight="true" outlineLevel="0" collapsed="false">
      <c r="B25" s="68" t="s">
        <v>325</v>
      </c>
      <c r="C25" s="68"/>
    </row>
  </sheetData>
  <mergeCells count="17">
    <mergeCell ref="B1:C1"/>
    <mergeCell ref="B3:C3"/>
    <mergeCell ref="B4:C4"/>
    <mergeCell ref="B6:C6"/>
    <mergeCell ref="B7:C7"/>
    <mergeCell ref="B9:C9"/>
    <mergeCell ref="B10:C10"/>
    <mergeCell ref="B12:C12"/>
    <mergeCell ref="B13:C13"/>
    <mergeCell ref="B15:C15"/>
    <mergeCell ref="B16:C16"/>
    <mergeCell ref="B18:C18"/>
    <mergeCell ref="B19:C19"/>
    <mergeCell ref="B21:C21"/>
    <mergeCell ref="B22:C22"/>
    <mergeCell ref="B24:C24"/>
    <mergeCell ref="B25:C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2026-05-31T08:55:50Z</dcterms:created>
  <dc:creator>openpyxl</dc:creator>
  <dc:description/>
  <dc:language>en-US</dc:language>
  <cp:lastModifiedBy/>
  <dcterms:modified xsi:type="dcterms:W3CDTF">2026-05-31T08:56:45Z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